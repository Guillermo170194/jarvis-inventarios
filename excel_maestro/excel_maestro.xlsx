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erviciossaludimssbienestar-my.sharepoint.com/personal/guillermo_ortega_imssbienestar_gob_mx/Documents/Escritorio/JARVIS_INVENTARIOS_2025/excel_maestro/"/>
    </mc:Choice>
  </mc:AlternateContent>
  <xr:revisionPtr revIDLastSave="74" documentId="14_{712CD0C7-EB85-41EF-98A4-79F8B5B94B7E}" xr6:coauthVersionLast="47" xr6:coauthVersionMax="47" xr10:uidLastSave="{2390FE05-E7B1-481B-8D94-F94435DBE8A3}"/>
  <bookViews>
    <workbookView xWindow="-108" yWindow="-108" windowWidth="23256" windowHeight="12456" xr2:uid="{828D9175-5588-45CF-A7E1-7FC94A611FC2}"/>
  </bookViews>
  <sheets>
    <sheet name="Hoja1" sheetId="2" r:id="rId1"/>
  </sheets>
  <externalReferences>
    <externalReference r:id="rId2"/>
  </externalReferences>
  <definedNames>
    <definedName name="_xlnm._FilterDatabase" localSheetId="0" hidden="1">Hoja1!$A$1:$N$66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" l="1"/>
  <c r="L63" i="2"/>
  <c r="L61" i="2"/>
  <c r="L48" i="2"/>
  <c r="L47" i="2"/>
  <c r="L36" i="2"/>
  <c r="L34" i="2"/>
  <c r="L33" i="2"/>
</calcChain>
</file>

<file path=xl/sharedStrings.xml><?xml version="1.0" encoding="utf-8"?>
<sst xmlns="http://schemas.openxmlformats.org/spreadsheetml/2006/main" count="548" uniqueCount="232">
  <si>
    <t>ENTIDAD</t>
  </si>
  <si>
    <t>Baja California Sur</t>
  </si>
  <si>
    <t>BSSSA000893</t>
  </si>
  <si>
    <t>Ciudad de México</t>
  </si>
  <si>
    <t>DFSSA005081</t>
  </si>
  <si>
    <t>Colima</t>
  </si>
  <si>
    <t>CMSSA010450</t>
  </si>
  <si>
    <t>Michoacán</t>
  </si>
  <si>
    <t>IMSSB20240207LERMA</t>
  </si>
  <si>
    <t>INSABI20230622MICH</t>
  </si>
  <si>
    <t>IMSSB20240207MORE</t>
  </si>
  <si>
    <t>MNSSA016364</t>
  </si>
  <si>
    <t>Nayarit</t>
  </si>
  <si>
    <t>NTSSA015076</t>
  </si>
  <si>
    <t>Puebla</t>
  </si>
  <si>
    <t xml:space="preserve"> PLSSA006434</t>
  </si>
  <si>
    <t>INSABI20230329</t>
  </si>
  <si>
    <t>PLSSA006306</t>
  </si>
  <si>
    <t>Quintana Roo</t>
  </si>
  <si>
    <t>QRSSA017564</t>
  </si>
  <si>
    <t>San Luis Potosí</t>
  </si>
  <si>
    <t>SPSSA016870</t>
  </si>
  <si>
    <t>Sinaloa</t>
  </si>
  <si>
    <t>SLSSA002590</t>
  </si>
  <si>
    <t>Tabasco</t>
  </si>
  <si>
    <t>TCSSA006623</t>
  </si>
  <si>
    <t>Tamaulipas</t>
  </si>
  <si>
    <t>TSSSA017786</t>
  </si>
  <si>
    <t>Tlaxcala</t>
  </si>
  <si>
    <t>TLSSA017605</t>
  </si>
  <si>
    <t>Veracruz</t>
  </si>
  <si>
    <t>VZSSA017175</t>
  </si>
  <si>
    <t>VZSSA15044</t>
  </si>
  <si>
    <t>VZSSA017286</t>
  </si>
  <si>
    <t>VZSSA017163</t>
  </si>
  <si>
    <t>México</t>
  </si>
  <si>
    <t>IMSSB22032024HUE</t>
  </si>
  <si>
    <t>IMSSB22032024LAGO</t>
  </si>
  <si>
    <t>IMSSB24072024TOL</t>
  </si>
  <si>
    <t>Hidalgo</t>
  </si>
  <si>
    <t>HGSSA015492</t>
  </si>
  <si>
    <t>Morelos</t>
  </si>
  <si>
    <t>MSSSA002234</t>
  </si>
  <si>
    <t>MSIMB002486</t>
  </si>
  <si>
    <t>Campeche</t>
  </si>
  <si>
    <t>CCSSA001792</t>
  </si>
  <si>
    <t>MCIMB009676</t>
  </si>
  <si>
    <t>Yucatán</t>
  </si>
  <si>
    <t>YNIMB000012</t>
  </si>
  <si>
    <t>QRIMB001611</t>
  </si>
  <si>
    <t>QRIMB001606</t>
  </si>
  <si>
    <t>MCIMB012295</t>
  </si>
  <si>
    <t>Guanajuato</t>
  </si>
  <si>
    <t>GTIMB000015</t>
  </si>
  <si>
    <t>SPIMB002970</t>
  </si>
  <si>
    <t>CSSSA009541</t>
  </si>
  <si>
    <t>CSIMB003926</t>
  </si>
  <si>
    <t>QRSSA001860</t>
  </si>
  <si>
    <t>QRIMB001623</t>
  </si>
  <si>
    <t>YNSSA013476</t>
  </si>
  <si>
    <t>YNIMB000024</t>
  </si>
  <si>
    <t>CSSSA008894</t>
  </si>
  <si>
    <t>CSIMB003511</t>
  </si>
  <si>
    <t>OCSSA007483</t>
  </si>
  <si>
    <t>OCIMB006826</t>
  </si>
  <si>
    <t>TSSSA018292</t>
  </si>
  <si>
    <t>TSIMB002865</t>
  </si>
  <si>
    <t>Baja California</t>
  </si>
  <si>
    <t>BCIMB001335</t>
  </si>
  <si>
    <t>BCIMB001340</t>
  </si>
  <si>
    <t>BCIMB001405</t>
  </si>
  <si>
    <t>Chiapas</t>
  </si>
  <si>
    <t>CSSSA017324</t>
  </si>
  <si>
    <t>CSSMP003133</t>
  </si>
  <si>
    <t>Sonora</t>
  </si>
  <si>
    <t>SRSSA017520</t>
  </si>
  <si>
    <t>SRSSA017503</t>
  </si>
  <si>
    <t>Guerrero</t>
  </si>
  <si>
    <t>GRSSA010522</t>
  </si>
  <si>
    <t>GRSSA011626</t>
  </si>
  <si>
    <t>GRSSA010505</t>
  </si>
  <si>
    <t>Oaxaca</t>
  </si>
  <si>
    <t>OCIMB000012</t>
  </si>
  <si>
    <t>HOSPITAL BÁSICO COMUNITARIO DE AMATÁN</t>
  </si>
  <si>
    <t>HOSPITAL GENERAL DE TEKAX</t>
  </si>
  <si>
    <t>HOSPITAL DE ESPECIALIDADES PEDIÁTRICAS</t>
  </si>
  <si>
    <t>HOSPITAL REGIONAL DE ALTA ESPECIALIDAD DE OAXACA</t>
  </si>
  <si>
    <t>HOSPITAL REGIONAL DE ALTA ESPECIALIDAD EN CD VICTORIA "BICENTENARIO 2010"</t>
  </si>
  <si>
    <t>HOSPITAL REGIONAL DE ALTA ESPECIALIDAD DE LA PENÍNSULA DE YUCATÁN</t>
  </si>
  <si>
    <t>HOSPITAL REGIONAL DE ALTA ESPECIALIDAD IXTAPALUCA</t>
  </si>
  <si>
    <t>ALMACÉN CENTRAL JURISDICCIÓN LA PAZ</t>
  </si>
  <si>
    <t>Almacén de Vacunas Estatal de los Servicios de Salud Pública de la Ciudad de México</t>
  </si>
  <si>
    <t>ALMACÉN DE DEPÓSITO Y DISTRIBUCIÓN DE MEDICAMENTOS E INSUMOS PARA LA SALUD DE SEDESA</t>
  </si>
  <si>
    <t>ALMACÉN CENTRAL DE LOS SERVICIOS DE SALUD DEL ESTADO DE COLIMA</t>
  </si>
  <si>
    <t>LERMA</t>
  </si>
  <si>
    <t>"Cuautipark 2 Almacén Seco"</t>
  </si>
  <si>
    <t>ALMACÉN CARELAB MICHOACÁN</t>
  </si>
  <si>
    <t>ALMACÉN CENTRAL</t>
  </si>
  <si>
    <t>ALMACÉN ESTATAL SERVICIOS DE SALUD DE NAYARIT</t>
  </si>
  <si>
    <t>PHARMA TYCSA, S.A DE C.V.</t>
  </si>
  <si>
    <t>ALMACÉN CENTRAL DE LOS SERVICIOS DE SALUD DEL ESTADO DE PUEBLA</t>
  </si>
  <si>
    <t>ALMACÉN CENTRAL SERVICIOS DE SALUD DE SAN LUIS POTOSÍ</t>
  </si>
  <si>
    <t>CENTRO LOGISTICO DE LOS SERVICIOS DE SALUD DE SINALOA</t>
  </si>
  <si>
    <t>ALMACEN GENERAL DE LA SECRETARIA DE SALUD DE TABASCO</t>
  </si>
  <si>
    <t>ALMACÉN CENTRAL ESTATAL  DE INSUMOS</t>
  </si>
  <si>
    <t>ALMACÉN GENERAL DEL O.P.D. SALUD DE TLAXCALA</t>
  </si>
  <si>
    <t>ALMACEN ESTATAL B VERACRUZ</t>
  </si>
  <si>
    <t>ALMACÉN ESTATAL D</t>
  </si>
  <si>
    <t>ALMACEN ESTATAL A VERACRUZ</t>
  </si>
  <si>
    <t>CEDIS HUEHUETOCA</t>
  </si>
  <si>
    <t>CEDIS LAGO DE GUADALUPE</t>
  </si>
  <si>
    <t>ALMACÉN CENTRAL DE LOS SERVICIOS DE SALUD DE HIDALGO</t>
  </si>
  <si>
    <t>ALMACÉN CENTRAL DE SERVICIOS DE SALUD DE MORELOS</t>
  </si>
  <si>
    <t>C&amp;M DISTRIBUIDORA DE MEDICAMENTOS Y MATERIAL DE CURACION S.A DE C.V</t>
  </si>
  <si>
    <t>ALMACEN GENERAL LAZARO CARDENAS</t>
  </si>
  <si>
    <t>HOSPITAL GENERAL DE SOLEDAD DE GRACIANO SÁNCHEZ</t>
  </si>
  <si>
    <t>ALMACÉN GENERAL TUXTLA GUTIÉRREZ</t>
  </si>
  <si>
    <t>COMERCIALIZADORA CHIAPANECA PENSIV, S.A. DE C.V.</t>
  </si>
  <si>
    <t>ALMACÉN ESTATAL (DEPARTAMENTO DE ABASTECIMIENTO)</t>
  </si>
  <si>
    <t>ALMACEN CENTRAL II (ALMACEN BOLICHE)</t>
  </si>
  <si>
    <t>ALMACÉN CENTRAL SERVICIOS ESTATALES DE SALUD DE GUERRERO</t>
  </si>
  <si>
    <t>CÁMARAS FRÍAS ESTATALES DEL PROGRAMA DE VACUNACIÓN UNIVERSAL</t>
  </si>
  <si>
    <t xml:space="preserve">CLUES </t>
  </si>
  <si>
    <t>ALMACÉN</t>
  </si>
  <si>
    <t>CARPETA FÍSCA (Si/no)</t>
  </si>
  <si>
    <t>OFICIO Y FECHA DE ENTREGA</t>
  </si>
  <si>
    <t>CORRECTO/INCORRECTO</t>
  </si>
  <si>
    <t>OFICIO SOLICITANDO CORRECIÓN</t>
  </si>
  <si>
    <t>OFICIO Y FECHA DE ENTREGA A LA UAS Y OIC</t>
  </si>
  <si>
    <t>ALMACÉN DE BIOLÓGICOS</t>
  </si>
  <si>
    <t>ALMACÉN ESTATAL DE LOS SERVICIOS ESTATALES DE SALUD</t>
  </si>
  <si>
    <t>ALMACÉN ESTATAL C BIS</t>
  </si>
  <si>
    <t>INSTITUTO DE SALUD DEL ESTADO DE MÉXICO (ALMACÉN GENERAL TOLUCA)</t>
  </si>
  <si>
    <t>HOSPITAL MATERNO DE TEXCOCO</t>
  </si>
  <si>
    <t>HOSPITAL INTEGRAL DE NICOLÁS BRAVO</t>
  </si>
  <si>
    <t>HOSPITAL DE ESPECIALIDADES DE CHETUMAL</t>
  </si>
  <si>
    <t>HOSPITAL REGIONAL DE ALTA ESPECIALIDAD DEL BAJÍO</t>
  </si>
  <si>
    <t>HOSPITAL COMUNITARIO DE TULUM</t>
  </si>
  <si>
    <t>ALMACEN TIJUANA</t>
  </si>
  <si>
    <t>Almacén Zona Ensenada</t>
  </si>
  <si>
    <t>ALMACÉN ZONA MEXICALI</t>
  </si>
  <si>
    <t>DEPARTAMENTO DE ALMACEN Y ABASTECIMIENTO DE LOS SERVICIOS DE SALUD DE SONORA</t>
  </si>
  <si>
    <t>ALMACEN DELEGACIONAL IMSS-BIENESTAR OAXACA</t>
  </si>
  <si>
    <t xml:space="preserve">SI </t>
  </si>
  <si>
    <t>NO</t>
  </si>
  <si>
    <t>CRM-558_ACTAS-INVENTARIO-QROO-FEB-2026</t>
  </si>
  <si>
    <t>CRM-324_HGSGS-CA-0425-2026</t>
  </si>
  <si>
    <t>CRM-322_UPECE-CE-CAMP-0178-2026</t>
  </si>
  <si>
    <t>CRM-703_SSIMSS-BIENESTAR QROO-TULUM-FAR-005-2026</t>
  </si>
  <si>
    <t>CRM-823_OPD-CEIBH-JSAYF-DCA-0180-2026</t>
  </si>
  <si>
    <t>CRM-686_CECH-1087-2026</t>
  </si>
  <si>
    <t>Oficio No. CE-SAF-DCA/BCS-048/2026</t>
  </si>
  <si>
    <t>SPSIB/CEC/JSAF/092/2025</t>
  </si>
  <si>
    <t>Oficio Núm. CEM-IB-0150-2026</t>
  </si>
  <si>
    <t>No. oficio CEN-IB-00374-2026</t>
  </si>
  <si>
    <t>Oficio Núm. CE/JSAyF/JDCA/IMSS-BIENESTAR/PUEBLA/0241/2026</t>
  </si>
  <si>
    <t>Oficio Núm. CE/JSAyF/JDCA/IMSS-BIENESTAR/PUEBLA/0241/2027</t>
  </si>
  <si>
    <t>Oficio Núm. CE/JSAyF/JDCA/IMSS-BIENESTAR/PUEBLA/0241/2028</t>
  </si>
  <si>
    <t>Of. Núm. CESLP-TCE-JSAF-DCA-/825-2026</t>
  </si>
  <si>
    <t>Oficio Núm.: IB-CES-0405-2026</t>
  </si>
  <si>
    <t>Of N° CEIBTAB-JSAF-0678/2026</t>
  </si>
  <si>
    <t>No. IBT-CE-JSAF-DCA-139-A/2026</t>
  </si>
  <si>
    <t>Oficio. No. TC-HRAEPY-228-2026.</t>
  </si>
  <si>
    <t>OF. Núm. C.E.BIENESTAR Q. ROO-HIBNB-ADM-0009-01-2026</t>
  </si>
  <si>
    <t xml:space="preserve"> Of. Núm. IMSS BIENESTAR/HOIBCH/DIR/0068/01/2026</t>
  </si>
  <si>
    <t>OFICIO: HRAEB/DG/DAF/0125/2026</t>
  </si>
  <si>
    <t>CORRECTO</t>
  </si>
  <si>
    <t>INCORRECTO</t>
  </si>
  <si>
    <t>REVISAR</t>
  </si>
  <si>
    <t>HRAEO/DG/243/2026   20/03/2026</t>
  </si>
  <si>
    <t>Of. Num. DG / CECDMX /JSAyF/5796/2026     11/02/2026</t>
  </si>
  <si>
    <t>CRM-405_DG-CECDMX-JSAYF-5797-2026   11/02/2026</t>
  </si>
  <si>
    <t>IB-UAF-CRM-861-2026</t>
  </si>
  <si>
    <t>IB-UAF-CRM-862-2026</t>
  </si>
  <si>
    <t>IB-UAF-CRM-858-2026</t>
  </si>
  <si>
    <t>IB-UAF-CRM-859-2026</t>
  </si>
  <si>
    <t>IB-UAF-CRM-860-2026</t>
  </si>
  <si>
    <t>OFICIO ELABORADO</t>
  </si>
  <si>
    <t>IB-UAF-CRM-343-2026</t>
  </si>
  <si>
    <t>1 copia</t>
  </si>
  <si>
    <t>SIGMUN</t>
  </si>
  <si>
    <t>IB-UAF-CRM-602-2026</t>
  </si>
  <si>
    <t>VACUNOLOGÍA</t>
  </si>
  <si>
    <t>Zacatecas</t>
  </si>
  <si>
    <t>DEPARTAMENTO DE ALMACÉN Y DISTRIBUCIÓN (BODEGA 4000)</t>
  </si>
  <si>
    <t>DEPARTAMENTO DE ALMACÉN Y DISTRIBUCIÓN (BODEGAS 700, 800, 900 Y 1000)</t>
  </si>
  <si>
    <t>ALMACÉN GENERAL</t>
  </si>
  <si>
    <t>CENTRO ESTATAL DE VACUNOLOGIA</t>
  </si>
  <si>
    <t>ALMACEN GENERAL HEROES DE NACOZARI</t>
  </si>
  <si>
    <t>HOSPITAL REGIONAL DE ALTA ESPECIALIDAD CIUDAD SALUD</t>
  </si>
  <si>
    <t>OCSSA001463</t>
  </si>
  <si>
    <t>HE DE LA NIÑEZ OAXAQUEÑA</t>
  </si>
  <si>
    <t>IB-UAF-CRM-693-2025</t>
  </si>
  <si>
    <t>IB-UAF-CRM-332-2026</t>
  </si>
  <si>
    <t>IB-UAF-CRM-340-2026</t>
  </si>
  <si>
    <t xml:space="preserve">               </t>
  </si>
  <si>
    <t>IB-UAF-CRM-344-2026</t>
  </si>
  <si>
    <t>FECHA CORRECCIÓN</t>
  </si>
  <si>
    <t>IB-UAF-CRM-336-2026</t>
  </si>
  <si>
    <t>IB-UAF-CRM-690-2026</t>
  </si>
  <si>
    <t>IB-UAF-CRM-342-2026</t>
  </si>
  <si>
    <t>IB-UAF-CRM-335-2026</t>
  </si>
  <si>
    <t>IB-UAF-CRM-601-2026</t>
  </si>
  <si>
    <t>No aplica</t>
  </si>
  <si>
    <t>FECHA PRIMER REITERATIVO</t>
  </si>
  <si>
    <t>IB-UAF-CRM-636-2025</t>
  </si>
  <si>
    <t>12 de marzo del 2026</t>
  </si>
  <si>
    <t>10 de febrero del  2026</t>
  </si>
  <si>
    <t>9 de marzo del 2026</t>
  </si>
  <si>
    <t>10 de marzo del 2026</t>
  </si>
  <si>
    <t xml:space="preserve">OFICIO SOLICITANDO CARPETA FISICA
1ER REITERATIVO </t>
  </si>
  <si>
    <t>OFICIO SEGUNDO REITERATIVO</t>
  </si>
  <si>
    <t>No. CIRC-IB-UAF-CRM-932-2026</t>
  </si>
  <si>
    <t>No. CIRC-IB-UAF-CRM-930-2026</t>
  </si>
  <si>
    <t>No. CIRC-IB-UAF-CRM-933-2026</t>
  </si>
  <si>
    <t>No. CIRC-IB-UAF-CRM-935-2026</t>
  </si>
  <si>
    <t>No. CIRC-IB-UAF-CRM-929-2026</t>
  </si>
  <si>
    <t>FECHA SEGUNDO REITERATIVO</t>
  </si>
  <si>
    <t>MANDO GUIA</t>
  </si>
  <si>
    <t>IB-UAF-CRM-941-2026</t>
  </si>
  <si>
    <t>IB-UAF-CRM-927-2026</t>
  </si>
  <si>
    <t>IB-UAF-CRM-925-2026</t>
  </si>
  <si>
    <t>SE ENVÍO CORREO</t>
  </si>
  <si>
    <t xml:space="preserve">si </t>
  </si>
  <si>
    <t>FECHA TERCER REITERATIVO</t>
  </si>
  <si>
    <t>IB-UAF-CRM-931-2026</t>
  </si>
  <si>
    <t>IB-UAF-CRM-928-2026</t>
  </si>
  <si>
    <t>IB-UAF-CRM-929-2026</t>
  </si>
  <si>
    <t>IB-UAF-CRM-935-2026</t>
  </si>
  <si>
    <t>IB-UAF-CRM-934-2026</t>
  </si>
  <si>
    <t>IB-UAF-CRM-942-2026</t>
  </si>
  <si>
    <t>IB-UAF-CRM-937-2026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</si>
</sst>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Noto Sans"/>
      <family val="2"/>
    </font>
    <font>
      <b/>
      <sz val="8"/>
      <color rgb="FF000000"/>
      <name val="Noto Sans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000000"/>
      <name val="Noto Sans"/>
      <family val="2"/>
    </font>
    <font>
      <sz val="8"/>
      <color theme="1"/>
      <name val="Aptos Narrow"/>
      <family val="2"/>
      <scheme val="minor"/>
    </font>
    <font>
      <sz val="6"/>
      <color rgb="FF000000"/>
      <name val="Noto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0066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43" fontId="5" fillId="3" borderId="1" xfId="1" applyFont="1" applyFill="1" applyBorder="1" applyAlignment="1">
      <alignment horizontal="center" vertical="center" wrapText="1"/>
    </xf>
    <xf numFmtId="43" fontId="7" fillId="3" borderId="1" xfId="1" applyFont="1" applyFill="1" applyBorder="1" applyAlignment="1">
      <alignment horizontal="left" vertical="center" wrapText="1"/>
    </xf>
    <xf numFmtId="43" fontId="5" fillId="3" borderId="1" xfId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43" fontId="5" fillId="4" borderId="1" xfId="1" applyFont="1" applyFill="1" applyBorder="1" applyAlignment="1">
      <alignment horizontal="center" vertical="center" wrapText="1"/>
    </xf>
    <xf numFmtId="0" fontId="0" fillId="4" borderId="0" xfId="0" applyFill="1"/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14" fontId="5" fillId="3" borderId="1" xfId="1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3" fontId="7" fillId="5" borderId="1" xfId="1" applyFont="1" applyFill="1" applyBorder="1" applyAlignment="1">
      <alignment horizontal="left" vertical="center" wrapText="1"/>
    </xf>
    <xf numFmtId="43" fontId="5" fillId="5" borderId="1" xfId="1" applyFont="1" applyFill="1" applyBorder="1" applyAlignment="1">
      <alignment horizontal="center" vertical="center" wrapText="1"/>
    </xf>
    <xf numFmtId="0" fontId="0" fillId="0" borderId="1" xfId="0" applyBorder="1"/>
    <xf numFmtId="43" fontId="5" fillId="3" borderId="0" xfId="1" applyFont="1" applyFill="1" applyBorder="1" applyAlignment="1">
      <alignment horizontal="center" vertical="center" wrapText="1"/>
    </xf>
    <xf numFmtId="15" fontId="0" fillId="0" borderId="0" xfId="0" applyNumberFormat="1"/>
    <xf numFmtId="15" fontId="6" fillId="0" borderId="0" xfId="0" applyNumberFormat="1" applyFont="1"/>
    <xf numFmtId="14" fontId="7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3" fontId="7" fillId="4" borderId="1" xfId="1" applyFont="1" applyFill="1" applyBorder="1" applyAlignment="1">
      <alignment horizontal="left" vertical="center" wrapText="1"/>
    </xf>
    <xf numFmtId="1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illermo.ortega\Downloads\NOTA_INFORMATI_INCUMPLIMIENTO_INVENTARIOS_31_03_2026.xlsx" TargetMode="External"/><Relationship Id="rId1" Type="http://schemas.openxmlformats.org/officeDocument/2006/relationships/externalLinkPath" Target="file:///C:\Users\guillermo.ortega\Downloads\NOTA_INFORMATI_INCUMPLIMIENTO_INVENTARIOS_31_03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INCUMPLIMIENTO"/>
      <sheetName val="Hoja4"/>
      <sheetName val="Hoja2"/>
    </sheetNames>
    <sheetDataSet>
      <sheetData sheetId="0"/>
      <sheetData sheetId="1">
        <row r="2">
          <cell r="A2" t="str">
            <v>Tlaxcala</v>
          </cell>
          <cell r="B2" t="str">
            <v>ALMACÉN GENERAL DEL O.P.D. SALUD DE TLAXCALA</v>
          </cell>
          <cell r="C2" t="str">
            <v>No.  CIRC-IB-UAF-045-2025</v>
          </cell>
          <cell r="D2">
            <v>45996</v>
          </cell>
          <cell r="E2" t="str">
            <v>No. CIRC-IB-UAF-CRM-103-2025</v>
          </cell>
          <cell r="F2">
            <v>46364</v>
          </cell>
          <cell r="G2" t="str">
            <v>NO</v>
          </cell>
          <cell r="H2" t="str">
            <v>OF. NÚM. CETLAXCALA-IB-0017/2026</v>
          </cell>
          <cell r="I2">
            <v>46041</v>
          </cell>
          <cell r="J2" t="str">
            <v>IB-UAF-CRM-340-2026</v>
          </cell>
          <cell r="K2" t="str">
            <v xml:space="preserve">10 de febrero del  2025 </v>
          </cell>
          <cell r="L2">
            <v>0</v>
          </cell>
        </row>
        <row r="3">
          <cell r="A3" t="str">
            <v>Veracruz</v>
          </cell>
          <cell r="B3" t="str">
            <v>ALMACEN ESTATAL B VERACRUZ</v>
          </cell>
          <cell r="C3" t="str">
            <v>No.  CIRC-IB-UAF-045-2025</v>
          </cell>
          <cell r="D3">
            <v>45996</v>
          </cell>
          <cell r="E3" t="str">
            <v>No. CIRC-IB-UAF-CRM-103-2025</v>
          </cell>
          <cell r="F3">
            <v>46364</v>
          </cell>
          <cell r="G3" t="str">
            <v>NO</v>
          </cell>
          <cell r="H3" t="str">
            <v>SIN SOLICITUD</v>
          </cell>
          <cell r="I3" t="str">
            <v>SIN SOLICITUD</v>
          </cell>
          <cell r="J3" t="str">
            <v>IB-UAF-CRM-336-2026</v>
          </cell>
          <cell r="K3" t="str">
            <v xml:space="preserve">10 de febrero del  2025 </v>
          </cell>
          <cell r="L3">
            <v>0</v>
          </cell>
        </row>
        <row r="4">
          <cell r="A4" t="str">
            <v>Veracruz</v>
          </cell>
          <cell r="B4" t="str">
            <v>ALMACÉN ESTATAL C BIS</v>
          </cell>
          <cell r="C4" t="str">
            <v>No.  CIRC-IB-UAF-045-2025</v>
          </cell>
          <cell r="D4">
            <v>45996</v>
          </cell>
          <cell r="E4" t="str">
            <v>No. CIRC-IB-UAF-CRM-103-2025</v>
          </cell>
          <cell r="F4">
            <v>46364</v>
          </cell>
          <cell r="G4" t="str">
            <v>NO</v>
          </cell>
          <cell r="H4" t="str">
            <v>SIN SOLICITUD</v>
          </cell>
          <cell r="I4" t="str">
            <v>SIN SOLICITUD</v>
          </cell>
          <cell r="J4" t="str">
            <v>IB-UAF-CRM-336-2026</v>
          </cell>
          <cell r="K4" t="str">
            <v xml:space="preserve">10 de febrero del  2025 </v>
          </cell>
          <cell r="L4">
            <v>0</v>
          </cell>
        </row>
        <row r="5">
          <cell r="A5" t="str">
            <v>Veracruz</v>
          </cell>
          <cell r="B5" t="str">
            <v>ALMACÉN ESTATAL D</v>
          </cell>
          <cell r="C5" t="str">
            <v>No.  CIRC-IB-UAF-045-2025</v>
          </cell>
          <cell r="D5">
            <v>45996</v>
          </cell>
          <cell r="E5" t="str">
            <v>No. CIRC-IB-UAF-CRM-103-2025</v>
          </cell>
          <cell r="F5">
            <v>46364</v>
          </cell>
          <cell r="G5" t="str">
            <v>NO</v>
          </cell>
          <cell r="H5" t="str">
            <v>SIN SOLICITUD</v>
          </cell>
          <cell r="I5" t="str">
            <v>SIN SOLICITUD</v>
          </cell>
          <cell r="J5" t="str">
            <v>IB-UAF-CRM-336-2026</v>
          </cell>
          <cell r="K5" t="str">
            <v xml:space="preserve">10 de febrero del  2025 </v>
          </cell>
          <cell r="L5">
            <v>0</v>
          </cell>
        </row>
        <row r="6">
          <cell r="A6" t="str">
            <v>Veracruz</v>
          </cell>
          <cell r="B6" t="str">
            <v>ALMACEN ESTATAL A VERACRUZ</v>
          </cell>
          <cell r="C6" t="str">
            <v>No.  CIRC-IB-UAF-045-2025</v>
          </cell>
          <cell r="D6">
            <v>45996</v>
          </cell>
          <cell r="E6" t="str">
            <v>No. CIRC-IB-UAF-CRM-103-2025</v>
          </cell>
          <cell r="F6">
            <v>46364</v>
          </cell>
          <cell r="G6" t="str">
            <v>NO</v>
          </cell>
          <cell r="H6" t="str">
            <v>SIN SOLICITUD</v>
          </cell>
          <cell r="I6" t="str">
            <v>SIN SOLICITUD</v>
          </cell>
          <cell r="J6" t="str">
            <v>IB-UAF-CRM-336-2026</v>
          </cell>
          <cell r="K6" t="str">
            <v xml:space="preserve">10 de febrero del  2025 </v>
          </cell>
          <cell r="L6">
            <v>0</v>
          </cell>
        </row>
        <row r="7">
          <cell r="A7" t="str">
            <v>Morelos</v>
          </cell>
          <cell r="B7" t="str">
            <v>ALMACÉN CENTRAL DE SERVICIOS DE SALUD DE MORELOS</v>
          </cell>
          <cell r="C7" t="str">
            <v>No.  CIRC-IB-UAF-045-2025</v>
          </cell>
          <cell r="D7">
            <v>45996</v>
          </cell>
          <cell r="E7" t="str">
            <v>No. CIRC-IB-UAF-CRM-103-2025</v>
          </cell>
          <cell r="F7">
            <v>46364</v>
          </cell>
          <cell r="G7" t="str">
            <v>NO</v>
          </cell>
          <cell r="H7" t="str">
            <v>SIN SOLICITUD</v>
          </cell>
          <cell r="I7" t="str">
            <v>SIN SOLICITUD</v>
          </cell>
          <cell r="J7" t="str">
            <v>IB-UAF-CRM-332-2026</v>
          </cell>
          <cell r="K7" t="str">
            <v xml:space="preserve">10 de febrero del  2025 </v>
          </cell>
          <cell r="L7">
            <v>0</v>
          </cell>
        </row>
        <row r="8">
          <cell r="A8" t="str">
            <v>Morelos</v>
          </cell>
          <cell r="B8" t="str">
            <v>C&amp;M DISTRIBUIDORA DE MEDICAMENTOS Y MATERIAL DE CURACION S.A DE C.V</v>
          </cell>
          <cell r="C8" t="str">
            <v>No.  CIRC-IB-UAF-045-2025</v>
          </cell>
          <cell r="D8">
            <v>45996</v>
          </cell>
          <cell r="E8" t="str">
            <v>No. CIRC-IB-UAF-CRM-103-2025</v>
          </cell>
          <cell r="F8">
            <v>46364</v>
          </cell>
          <cell r="G8" t="str">
            <v>NO</v>
          </cell>
          <cell r="H8" t="str">
            <v>SIN SOLICITUD</v>
          </cell>
          <cell r="I8" t="str">
            <v>SIN SOLICITUD</v>
          </cell>
          <cell r="J8" t="str">
            <v>IB-UAF-CRM-332-2026</v>
          </cell>
          <cell r="K8" t="str">
            <v xml:space="preserve">10 de febrero del  2025 </v>
          </cell>
          <cell r="L8">
            <v>0</v>
          </cell>
        </row>
        <row r="9">
          <cell r="A9" t="str">
            <v>México</v>
          </cell>
          <cell r="B9" t="str">
            <v>HOSPITAL REGIONAL DE ALTA ESPECIALIDAD IXTAPALUCA</v>
          </cell>
          <cell r="C9" t="str">
            <v>No.  CIRC-IB-UAF-045-2025</v>
          </cell>
          <cell r="D9">
            <v>45996</v>
          </cell>
          <cell r="E9" t="str">
            <v>No. CIRC-IB-UAF-CRM-103-2025</v>
          </cell>
          <cell r="F9">
            <v>46364</v>
          </cell>
          <cell r="G9" t="str">
            <v>NO</v>
          </cell>
          <cell r="H9" t="str">
            <v>OF. NÚM. IB-CEEM-JSAF-DCA-020-2026</v>
          </cell>
          <cell r="I9">
            <v>46045</v>
          </cell>
          <cell r="J9" t="str">
            <v>IB-UAF-CRM-344-2026</v>
          </cell>
          <cell r="K9" t="str">
            <v xml:space="preserve">10 de febrero del  2025 </v>
          </cell>
          <cell r="L9">
            <v>0</v>
          </cell>
        </row>
        <row r="10">
          <cell r="A10" t="str">
            <v>Chiapas</v>
          </cell>
          <cell r="B10" t="str">
            <v>HOSPITAL BÁSICO COMUNITARIO DE AMATÁN</v>
          </cell>
          <cell r="C10" t="str">
            <v>No.  CIRC-IB-UAF-045-2025</v>
          </cell>
          <cell r="D10">
            <v>45996</v>
          </cell>
          <cell r="E10" t="str">
            <v>No. CIRC-IB-UAF-CRM-103-2025</v>
          </cell>
          <cell r="F10">
            <v>46364</v>
          </cell>
          <cell r="G10" t="str">
            <v>NO</v>
          </cell>
          <cell r="H10" t="str">
            <v>SSIMB-HBCA-OFICIO-ADM-0007-2026</v>
          </cell>
          <cell r="I10">
            <v>46042</v>
          </cell>
          <cell r="J10" t="str">
            <v>IB-UAF-CRM-690-2026</v>
          </cell>
          <cell r="K10" t="str">
            <v>12 de marzo del 2025</v>
          </cell>
          <cell r="L10">
            <v>0</v>
          </cell>
        </row>
        <row r="11">
          <cell r="A11" t="str">
            <v>YUCATÁN</v>
          </cell>
          <cell r="B11" t="str">
            <v>HOSPITAL GENERAL DE TEKAX</v>
          </cell>
          <cell r="C11" t="str">
            <v>No.  CIRC-IB-UAF-045-2025</v>
          </cell>
          <cell r="D11">
            <v>45996</v>
          </cell>
          <cell r="E11" t="str">
            <v>No. CIRC-IB-UAF-CRM-103-2025</v>
          </cell>
          <cell r="F11">
            <v>46364</v>
          </cell>
          <cell r="G11" t="str">
            <v>NO</v>
          </cell>
          <cell r="H11" t="str">
            <v>SIN SOLICITUD</v>
          </cell>
          <cell r="I11" t="str">
            <v>SIN SOLICITUD</v>
          </cell>
          <cell r="J11" t="str">
            <v>IB-UAF-CRM-343-2026</v>
          </cell>
          <cell r="K11" t="str">
            <v xml:space="preserve">10 de febrero del  2025 </v>
          </cell>
          <cell r="L11">
            <v>0</v>
          </cell>
        </row>
        <row r="12">
          <cell r="A12" t="str">
            <v>Baja California</v>
          </cell>
          <cell r="B12" t="str">
            <v>ALMACEN TIJUANA</v>
          </cell>
          <cell r="C12" t="str">
            <v>No.  CIRC-IB-UAF-045-2025</v>
          </cell>
          <cell r="D12">
            <v>45996</v>
          </cell>
          <cell r="E12" t="str">
            <v>No. CIRC-IB-UAF-CRM-103-2025</v>
          </cell>
          <cell r="F12">
            <v>46364</v>
          </cell>
          <cell r="G12" t="str">
            <v>NO</v>
          </cell>
          <cell r="H12" t="str">
            <v>OF. NÚM CE-BC-0033-202</v>
          </cell>
          <cell r="I12">
            <v>46051</v>
          </cell>
          <cell r="J12" t="str">
            <v>IB-UAF-CRM-342-2026</v>
          </cell>
          <cell r="K12" t="str">
            <v xml:space="preserve">10 de febrero del  2025 </v>
          </cell>
          <cell r="L12">
            <v>0</v>
          </cell>
        </row>
        <row r="13">
          <cell r="A13" t="str">
            <v>Baja California</v>
          </cell>
          <cell r="B13" t="str">
            <v>Almacén Zona Ensenada</v>
          </cell>
          <cell r="C13" t="str">
            <v>No.  CIRC-IB-UAF-045-2025</v>
          </cell>
          <cell r="D13">
            <v>45996</v>
          </cell>
          <cell r="E13" t="str">
            <v>No. CIRC-IB-UAF-CRM-103-2025</v>
          </cell>
          <cell r="F13">
            <v>46364</v>
          </cell>
          <cell r="G13" t="str">
            <v>NO</v>
          </cell>
          <cell r="H13" t="str">
            <v>OF. NÚM CE-BC-0033-202</v>
          </cell>
          <cell r="I13">
            <v>46051</v>
          </cell>
          <cell r="J13" t="str">
            <v>IB-UAF-CRM-342-2026</v>
          </cell>
          <cell r="K13" t="str">
            <v xml:space="preserve">10 de febrero del  2025 </v>
          </cell>
          <cell r="L13">
            <v>0</v>
          </cell>
        </row>
        <row r="14">
          <cell r="A14" t="str">
            <v>Baja California</v>
          </cell>
          <cell r="B14" t="str">
            <v>ALMACÉN ZONA MEXICALI</v>
          </cell>
          <cell r="C14" t="str">
            <v>No.  CIRC-IB-UAF-045-2025</v>
          </cell>
          <cell r="D14">
            <v>45996</v>
          </cell>
          <cell r="E14" t="str">
            <v>No. CIRC-IB-UAF-CRM-103-2025</v>
          </cell>
          <cell r="F14">
            <v>46364</v>
          </cell>
          <cell r="G14" t="str">
            <v>NO</v>
          </cell>
          <cell r="H14" t="str">
            <v>OF. NÚM CE-BC-0033-202</v>
          </cell>
          <cell r="I14">
            <v>46051</v>
          </cell>
          <cell r="J14" t="str">
            <v>IB-UAF-CRM-342-2026</v>
          </cell>
          <cell r="K14" t="str">
            <v xml:space="preserve">10 de febrero del  2025 </v>
          </cell>
          <cell r="L14">
            <v>0</v>
          </cell>
        </row>
        <row r="15">
          <cell r="A15" t="str">
            <v>Sonora</v>
          </cell>
          <cell r="B15" t="str">
            <v>ALMACÉN ESTATAL (DEPARTAMENTO DE ABASTECIMIENTO)</v>
          </cell>
          <cell r="C15" t="str">
            <v>No.  CIRC-IB-UAF-045-2025</v>
          </cell>
          <cell r="D15">
            <v>45996</v>
          </cell>
          <cell r="E15" t="str">
            <v>No. CIRC-IB-UAF-CRM-103-2025</v>
          </cell>
          <cell r="F15">
            <v>46364</v>
          </cell>
          <cell r="G15" t="str">
            <v>NO</v>
          </cell>
          <cell r="H15" t="str">
            <v>SIN SOLICITUD</v>
          </cell>
          <cell r="I15" t="str">
            <v>SIN SOLICITUD</v>
          </cell>
          <cell r="J15" t="str">
            <v>IB-UAF-CRM-335-2026</v>
          </cell>
          <cell r="K15" t="str">
            <v xml:space="preserve">10 de febrero del  2025 </v>
          </cell>
          <cell r="L15">
            <v>0</v>
          </cell>
        </row>
        <row r="16">
          <cell r="A16" t="str">
            <v>Sonora</v>
          </cell>
          <cell r="B16" t="str">
            <v>DEPARTAMENTO DE ALMACEN Y ABASTECIMIENTO DE LOS SERVICIOS DE SALUD DE SONORA</v>
          </cell>
          <cell r="C16" t="str">
            <v>No.  CIRC-IB-UAF-045-2025</v>
          </cell>
          <cell r="D16">
            <v>45996</v>
          </cell>
          <cell r="E16" t="str">
            <v>No. CIRC-IB-UAF-CRM-103-2025</v>
          </cell>
          <cell r="F16">
            <v>46364</v>
          </cell>
          <cell r="G16" t="str">
            <v>NO</v>
          </cell>
          <cell r="H16" t="str">
            <v>SIN SOLICITUD</v>
          </cell>
          <cell r="I16" t="str">
            <v>SIN SOLICITUD</v>
          </cell>
          <cell r="J16" t="str">
            <v>IB-UAF-CRM-335-2026</v>
          </cell>
          <cell r="K16" t="str">
            <v xml:space="preserve">10 de febrero del  2025 </v>
          </cell>
          <cell r="L16">
            <v>0</v>
          </cell>
        </row>
        <row r="17">
          <cell r="A17" t="str">
            <v>Guerrero</v>
          </cell>
          <cell r="B17" t="str">
            <v>ALMACEN CENTRAL II (ALMACEN BOLICHE)</v>
          </cell>
          <cell r="C17" t="str">
            <v>No.  CIRC-IB-UAF-045-2025</v>
          </cell>
          <cell r="D17">
            <v>45996</v>
          </cell>
          <cell r="E17" t="str">
            <v>No. CIRC-IB-UAF-CRM-103-2025</v>
          </cell>
          <cell r="F17">
            <v>46364</v>
          </cell>
          <cell r="G17" t="str">
            <v>NO</v>
          </cell>
          <cell r="H17" t="str">
            <v>OF. NÚM IMB-CEGRO-JSAF-2026-01-14-13</v>
          </cell>
          <cell r="I17">
            <v>46043</v>
          </cell>
          <cell r="J17" t="str">
            <v>IB-UAF-CRM-601-2026</v>
          </cell>
          <cell r="K17" t="str">
            <v xml:space="preserve">9 de marzo del 2025 </v>
          </cell>
          <cell r="L17">
            <v>0</v>
          </cell>
        </row>
        <row r="18">
          <cell r="A18" t="str">
            <v>Guerrero</v>
          </cell>
          <cell r="B18" t="str">
            <v>ALMACÉN CENTRAL SERVICIOS ESTATALES DE SALUD DE GUERRERO</v>
          </cell>
          <cell r="C18" t="str">
            <v>No.  CIRC-IB-UAF-045-2025</v>
          </cell>
          <cell r="D18">
            <v>45996</v>
          </cell>
          <cell r="E18" t="str">
            <v>No. CIRC-IB-UAF-CRM-103-2025</v>
          </cell>
          <cell r="F18">
            <v>46364</v>
          </cell>
          <cell r="G18" t="str">
            <v>NO</v>
          </cell>
          <cell r="H18" t="str">
            <v>OF. NÚM IMB-CEGRO-JSAF-2026-01-14-13</v>
          </cell>
          <cell r="I18">
            <v>46043</v>
          </cell>
          <cell r="J18" t="str">
            <v>IB-UAF-CRM-601-2026</v>
          </cell>
          <cell r="K18" t="str">
            <v xml:space="preserve">9 de marzo del 2025 </v>
          </cell>
          <cell r="L18">
            <v>0</v>
          </cell>
        </row>
        <row r="19">
          <cell r="A19" t="str">
            <v>Guerrero</v>
          </cell>
          <cell r="B19" t="str">
            <v>CÁMARAS FRÍAS ESTATALES DEL PROGRAMA DE VACUNACIÓN UNIVERSAL</v>
          </cell>
          <cell r="C19" t="str">
            <v>No.  CIRC-IB-UAF-045-2025</v>
          </cell>
          <cell r="D19">
            <v>45996</v>
          </cell>
          <cell r="E19" t="str">
            <v>No. CIRC-IB-UAF-CRM-103-2025</v>
          </cell>
          <cell r="F19">
            <v>46364</v>
          </cell>
          <cell r="G19" t="str">
            <v>NO</v>
          </cell>
          <cell r="H19" t="str">
            <v>OF. NÚM IMB-CEGRO-JSAF-2026-01-14-13</v>
          </cell>
          <cell r="I19">
            <v>46043</v>
          </cell>
          <cell r="J19" t="str">
            <v>IB-UAF-CRM-601-2026</v>
          </cell>
          <cell r="K19" t="str">
            <v xml:space="preserve">9 de marzo del 2025 </v>
          </cell>
          <cell r="L19">
            <v>0</v>
          </cell>
        </row>
        <row r="20">
          <cell r="A20" t="str">
            <v>Oaxaca</v>
          </cell>
          <cell r="B20" t="str">
            <v>ALMACEN DELEGACIONAL IMSS-BIENESTAR OAXACA</v>
          </cell>
          <cell r="C20" t="str">
            <v>No.  CIRC-IB-UAF-045-2025</v>
          </cell>
          <cell r="D20">
            <v>45996</v>
          </cell>
          <cell r="E20" t="str">
            <v>No. CIRC-IB-UAF-CRM-103-2025</v>
          </cell>
          <cell r="F20">
            <v>46364</v>
          </cell>
          <cell r="G20" t="str">
            <v>NO</v>
          </cell>
          <cell r="H20" t="str">
            <v>OF. NÚM. CEIBOAX-210/2026</v>
          </cell>
          <cell r="I20">
            <v>46045</v>
          </cell>
          <cell r="J20" t="str">
            <v>IB-UAF-CRM-602-2026</v>
          </cell>
          <cell r="K20" t="str">
            <v xml:space="preserve">9 de marzo del 2025 </v>
          </cell>
          <cell r="L20">
            <v>0</v>
          </cell>
        </row>
        <row r="21">
          <cell r="A21" t="str">
            <v>Oaxaca</v>
          </cell>
          <cell r="B21" t="str">
            <v>SIGMUN</v>
          </cell>
          <cell r="C21" t="str">
            <v>No.  CIRC-IB-UAF-045-2025</v>
          </cell>
          <cell r="D21">
            <v>45996</v>
          </cell>
          <cell r="E21" t="str">
            <v>No. CIRC-IB-UAF-CRM-103-2025</v>
          </cell>
          <cell r="F21">
            <v>46364</v>
          </cell>
          <cell r="G21" t="str">
            <v>NO</v>
          </cell>
          <cell r="H21" t="str">
            <v>OF. NÚM. CEIBOAX-210/2026</v>
          </cell>
          <cell r="I21">
            <v>46045</v>
          </cell>
          <cell r="J21" t="str">
            <v>IB-UAF-CRM-602-2026</v>
          </cell>
          <cell r="K21" t="str">
            <v xml:space="preserve">9 de marzo del 2025 </v>
          </cell>
          <cell r="L21">
            <v>0</v>
          </cell>
        </row>
        <row r="22">
          <cell r="A22" t="str">
            <v>Oaxaca</v>
          </cell>
          <cell r="B22" t="str">
            <v>VACUNOLOGÍA</v>
          </cell>
          <cell r="C22" t="str">
            <v>No.  CIRC-IB-UAF-045-2025</v>
          </cell>
          <cell r="D22">
            <v>45996</v>
          </cell>
          <cell r="E22" t="str">
            <v>No. CIRC-IB-UAF-CRM-103-2025</v>
          </cell>
          <cell r="F22">
            <v>46364</v>
          </cell>
          <cell r="G22" t="str">
            <v>NO</v>
          </cell>
          <cell r="H22" t="str">
            <v>OF. NÚM. CEIBOAX-210/2026</v>
          </cell>
          <cell r="I22">
            <v>46045</v>
          </cell>
          <cell r="J22" t="str">
            <v>IB-UAF-CRM-602-2026</v>
          </cell>
          <cell r="K22" t="str">
            <v xml:space="preserve">9 de marzo del 2025 </v>
          </cell>
          <cell r="L22">
            <v>0</v>
          </cell>
        </row>
        <row r="23">
          <cell r="A23" t="str">
            <v>Chiapas</v>
          </cell>
          <cell r="B23" t="str">
            <v>HOSPITAL REGIONAL DE ALTA ESPECIALIDAD CIUDAD SALUD</v>
          </cell>
          <cell r="C23" t="str">
            <v>No.  CIRC-IB-UAF-045-2025</v>
          </cell>
          <cell r="D23">
            <v>45996</v>
          </cell>
          <cell r="E23" t="str">
            <v>No. CIRC-IB-UAF-CRM-103-2025</v>
          </cell>
          <cell r="F23">
            <v>46364</v>
          </cell>
          <cell r="G23" t="str">
            <v>NO</v>
          </cell>
          <cell r="H23" t="str">
            <v>SIN SOLICITUD</v>
          </cell>
          <cell r="I23" t="str">
            <v>SIN SOLICITUD</v>
          </cell>
          <cell r="J23" t="str">
            <v>IB-UAF-CRM-691-2025</v>
          </cell>
          <cell r="K23" t="str">
            <v>12 de marzo del 2025</v>
          </cell>
          <cell r="L23">
            <v>0</v>
          </cell>
        </row>
        <row r="24">
          <cell r="A24" t="str">
            <v>Oaxaca</v>
          </cell>
          <cell r="B24" t="str">
            <v>HE DE LA NIÑEZ OAXAQUEÑA</v>
          </cell>
          <cell r="C24" t="str">
            <v>No.  CIRC-IB-UAF-045-2025</v>
          </cell>
          <cell r="D24">
            <v>45996</v>
          </cell>
          <cell r="E24" t="str">
            <v>No. CIRC-IB-UAF-CRM-103-2025</v>
          </cell>
          <cell r="F24">
            <v>46364</v>
          </cell>
          <cell r="G24" t="str">
            <v>NO</v>
          </cell>
          <cell r="H24" t="str">
            <v>SIN SOLICITUD</v>
          </cell>
          <cell r="I24" t="str">
            <v>SIN SOLICITUD</v>
          </cell>
          <cell r="J24" t="str">
            <v>IB-UAF-CRM-693-2025</v>
          </cell>
          <cell r="K24" t="str">
            <v>12 de marzo del 2025</v>
          </cell>
          <cell r="L24">
            <v>0</v>
          </cell>
        </row>
        <row r="25">
          <cell r="A25" t="str">
            <v>Zacatecas</v>
          </cell>
          <cell r="B25" t="str">
            <v>DEPARTAMENTO DE ALMACÉN Y DISTRIBUCIÓN (BODEGA 4000)</v>
          </cell>
          <cell r="C25" t="str">
            <v>No.  CIRC-IB-UAF-045-2025</v>
          </cell>
          <cell r="D25">
            <v>45996</v>
          </cell>
          <cell r="E25" t="str">
            <v>No. CIRC-IB-UAF-CRM-103-2025</v>
          </cell>
          <cell r="F25">
            <v>46364</v>
          </cell>
          <cell r="G25" t="str">
            <v>NO</v>
          </cell>
          <cell r="H25" t="str">
            <v>SIN SOLICITUD</v>
          </cell>
          <cell r="I25" t="str">
            <v>SIN SOLICITUD</v>
          </cell>
          <cell r="J25" t="str">
            <v>IB-UAF-CRM-636-2025</v>
          </cell>
          <cell r="K25" t="str">
            <v>10 de marzo del 2025</v>
          </cell>
          <cell r="L25"/>
        </row>
        <row r="26">
          <cell r="A26" t="str">
            <v>Zacatecas</v>
          </cell>
          <cell r="B26" t="str">
            <v>DEPARTAMENTO DE ALMACÉN Y DISTRIBUCIÓN (BODEGAS 700, 800, 900 Y 1000)</v>
          </cell>
          <cell r="C26" t="str">
            <v>No.  CIRC-IB-UAF-045-2025</v>
          </cell>
          <cell r="D26">
            <v>45996</v>
          </cell>
          <cell r="E26" t="str">
            <v>No. CIRC-IB-UAF-CRM-103-2025</v>
          </cell>
          <cell r="F26">
            <v>46364</v>
          </cell>
          <cell r="G26" t="str">
            <v>NO</v>
          </cell>
          <cell r="H26" t="str">
            <v>SIN SOLICITUD</v>
          </cell>
          <cell r="I26" t="str">
            <v>SIN SOLICITUD</v>
          </cell>
          <cell r="J26" t="str">
            <v>IB-UAF-CRM-636-2025</v>
          </cell>
          <cell r="K26" t="str">
            <v>10 de marzo del 2025</v>
          </cell>
          <cell r="L26"/>
        </row>
        <row r="27">
          <cell r="A27" t="str">
            <v>Zacatecas</v>
          </cell>
          <cell r="B27" t="str">
            <v>VACUNOLOGÍA</v>
          </cell>
          <cell r="C27" t="str">
            <v>No.  CIRC-IB-UAF-045-2025</v>
          </cell>
          <cell r="D27">
            <v>45996</v>
          </cell>
          <cell r="E27" t="str">
            <v>No. CIRC-IB-UAF-CRM-103-2025</v>
          </cell>
          <cell r="F27">
            <v>46364</v>
          </cell>
          <cell r="G27" t="str">
            <v>NO</v>
          </cell>
          <cell r="H27" t="str">
            <v>SIN SOLICITUD</v>
          </cell>
          <cell r="I27" t="str">
            <v>SIN SOLICITUD</v>
          </cell>
          <cell r="J27" t="str">
            <v>IB-UAF-CRM-636-2025</v>
          </cell>
          <cell r="K27" t="str">
            <v>10 de marzo del 2025</v>
          </cell>
          <cell r="L27"/>
        </row>
        <row r="28">
          <cell r="A28" t="str">
            <v>Tabasco</v>
          </cell>
          <cell r="B28" t="str">
            <v>VACUNOLOGÍA</v>
          </cell>
          <cell r="C28" t="str">
            <v>No.  CIRC-IB-UAF-045-2025</v>
          </cell>
          <cell r="D28">
            <v>45996</v>
          </cell>
          <cell r="E28" t="str">
            <v>No. CIRC-IB-UAF-CRM-103-2025</v>
          </cell>
          <cell r="F28">
            <v>46364</v>
          </cell>
          <cell r="G28" t="str">
            <v>NO</v>
          </cell>
          <cell r="H28" t="str">
            <v>OF. NÚM. CEIBTAB-0226/2026</v>
          </cell>
          <cell r="I28">
            <v>46044</v>
          </cell>
          <cell r="J28">
            <v>0</v>
          </cell>
          <cell r="K28">
            <v>0</v>
          </cell>
          <cell r="L28" t="str">
            <v>Entregaron el inventario del almacén pero no entregaron inventario del de Vacunas</v>
          </cell>
        </row>
        <row r="29">
          <cell r="A29" t="str">
            <v>Sinaloa</v>
          </cell>
          <cell r="B29" t="str">
            <v>CENTRO ESTATAL DE VACUNOLOGIA</v>
          </cell>
          <cell r="C29" t="str">
            <v>No.  CIRC-IB-UAF-045-2025</v>
          </cell>
          <cell r="D29">
            <v>45996</v>
          </cell>
          <cell r="E29" t="str">
            <v>No. CIRC-IB-UAF-CRM-103-2025</v>
          </cell>
          <cell r="F29">
            <v>46364</v>
          </cell>
          <cell r="G29" t="str">
            <v>NO</v>
          </cell>
          <cell r="H29" t="str">
            <v>SIN SOLICITUD</v>
          </cell>
          <cell r="I29" t="str">
            <v>SIN SOLICITUD</v>
          </cell>
          <cell r="J29">
            <v>0</v>
          </cell>
          <cell r="K29"/>
          <cell r="L29" t="str">
            <v>Entregaron el inventario del almacén pero no entregaron inventario del de Vacunas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8F57-14D9-48DF-BF2A-8DF72A5CD818}">
  <sheetPr codeName="Hoja2"/>
  <dimension ref="A1:N66"/>
  <sheetViews>
    <sheetView tabSelected="1" topLeftCell="B57" zoomScale="110" workbookViewId="0">
      <selection sqref="A1:N66"/>
    </sheetView>
  </sheetViews>
  <sheetFormatPr baseColWidth="10" defaultRowHeight="14.4" x14ac:dyDescent="0.3"/>
  <cols>
    <col min="3" max="3" width="20" style="6" customWidth="1"/>
    <col min="4" max="4" width="7.5546875" customWidth="1"/>
    <col min="5" max="5" width="11" style="7" customWidth="1"/>
    <col min="7" max="7" width="18.88671875" customWidth="1"/>
    <col min="8" max="8" width="7.44140625" customWidth="1"/>
    <col min="9" max="10" width="17.21875" customWidth="1"/>
    <col min="11" max="11" width="16.5546875" customWidth="1"/>
    <col min="12" max="12" width="13.33203125" customWidth="1"/>
    <col min="13" max="13" width="12.44140625" customWidth="1"/>
  </cols>
  <sheetData>
    <row r="1" spans="1:14" s="2" customFormat="1" ht="69" x14ac:dyDescent="0.25">
      <c r="A1" s="3" t="s">
        <v>0</v>
      </c>
      <c r="B1" s="3" t="s">
        <v>122</v>
      </c>
      <c r="C1" s="3" t="s">
        <v>123</v>
      </c>
      <c r="D1" s="3" t="s">
        <v>124</v>
      </c>
      <c r="E1" s="3" t="s">
        <v>125</v>
      </c>
      <c r="F1" s="4" t="s">
        <v>126</v>
      </c>
      <c r="G1" s="4" t="s">
        <v>127</v>
      </c>
      <c r="H1" s="4" t="s">
        <v>197</v>
      </c>
      <c r="I1" s="4" t="s">
        <v>210</v>
      </c>
      <c r="J1" s="4" t="s">
        <v>204</v>
      </c>
      <c r="K1" s="4" t="s">
        <v>211</v>
      </c>
      <c r="L1" s="4" t="s">
        <v>217</v>
      </c>
      <c r="M1" s="4" t="s">
        <v>128</v>
      </c>
      <c r="N1" s="4" t="s">
        <v>224</v>
      </c>
    </row>
    <row r="2" spans="1:14" ht="41.4" x14ac:dyDescent="0.3">
      <c r="A2" s="1" t="s">
        <v>20</v>
      </c>
      <c r="B2" s="1" t="s">
        <v>21</v>
      </c>
      <c r="C2" s="5" t="s">
        <v>101</v>
      </c>
      <c r="D2" s="5" t="s">
        <v>143</v>
      </c>
      <c r="E2" s="9" t="s">
        <v>158</v>
      </c>
      <c r="F2" s="8" t="s">
        <v>167</v>
      </c>
      <c r="G2" s="12" t="s">
        <v>222</v>
      </c>
      <c r="H2" s="12"/>
      <c r="I2" s="8" t="s">
        <v>203</v>
      </c>
      <c r="J2" s="8" t="s">
        <v>203</v>
      </c>
      <c r="K2" s="8" t="s">
        <v>203</v>
      </c>
      <c r="L2" s="8" t="s">
        <v>203</v>
      </c>
      <c r="M2" s="8"/>
    </row>
    <row r="3" spans="1:14" ht="31.2" x14ac:dyDescent="0.3">
      <c r="A3" s="1" t="s">
        <v>18</v>
      </c>
      <c r="B3" s="1" t="s">
        <v>49</v>
      </c>
      <c r="C3" s="5" t="s">
        <v>134</v>
      </c>
      <c r="D3" s="5" t="s">
        <v>143</v>
      </c>
      <c r="E3" s="9" t="s">
        <v>163</v>
      </c>
      <c r="F3" s="8" t="s">
        <v>166</v>
      </c>
      <c r="G3" s="12" t="s">
        <v>222</v>
      </c>
      <c r="H3" s="12"/>
      <c r="I3" s="8" t="s">
        <v>203</v>
      </c>
      <c r="J3" s="8" t="s">
        <v>203</v>
      </c>
      <c r="K3" s="8" t="s">
        <v>203</v>
      </c>
      <c r="L3" s="8" t="s">
        <v>203</v>
      </c>
      <c r="M3" s="8"/>
    </row>
    <row r="4" spans="1:14" ht="41.4" x14ac:dyDescent="0.3">
      <c r="A4" s="1" t="s">
        <v>63</v>
      </c>
      <c r="B4" s="1" t="s">
        <v>64</v>
      </c>
      <c r="C4" s="5" t="s">
        <v>86</v>
      </c>
      <c r="D4" s="5" t="s">
        <v>143</v>
      </c>
      <c r="E4" s="9" t="s">
        <v>169</v>
      </c>
      <c r="F4" s="8" t="s">
        <v>167</v>
      </c>
      <c r="G4" s="12" t="s">
        <v>222</v>
      </c>
      <c r="H4" s="12"/>
      <c r="I4" s="8" t="s">
        <v>203</v>
      </c>
      <c r="J4" s="8" t="s">
        <v>203</v>
      </c>
      <c r="K4" s="8" t="s">
        <v>203</v>
      </c>
      <c r="L4" s="8" t="s">
        <v>203</v>
      </c>
      <c r="M4" s="8"/>
    </row>
    <row r="5" spans="1:14" ht="27.6" x14ac:dyDescent="0.3">
      <c r="A5" s="1" t="s">
        <v>1</v>
      </c>
      <c r="B5" s="1" t="s">
        <v>2</v>
      </c>
      <c r="C5" s="5" t="s">
        <v>90</v>
      </c>
      <c r="D5" s="5" t="s">
        <v>143</v>
      </c>
      <c r="E5" s="9" t="s">
        <v>151</v>
      </c>
      <c r="F5" s="8" t="s">
        <v>167</v>
      </c>
      <c r="G5" s="8" t="s">
        <v>172</v>
      </c>
      <c r="H5" s="8"/>
      <c r="I5" s="8" t="s">
        <v>203</v>
      </c>
      <c r="J5" s="8" t="s">
        <v>203</v>
      </c>
      <c r="K5" s="8" t="s">
        <v>203</v>
      </c>
      <c r="L5" s="8" t="s">
        <v>203</v>
      </c>
      <c r="M5" s="8"/>
    </row>
    <row r="6" spans="1:14" ht="69" x14ac:dyDescent="0.3">
      <c r="A6" s="1" t="s">
        <v>3</v>
      </c>
      <c r="B6" s="1" t="s">
        <v>4</v>
      </c>
      <c r="C6" s="5" t="s">
        <v>92</v>
      </c>
      <c r="D6" s="5" t="s">
        <v>143</v>
      </c>
      <c r="E6" s="9" t="s">
        <v>170</v>
      </c>
      <c r="F6" s="8" t="s">
        <v>166</v>
      </c>
      <c r="G6" s="8">
        <v>0</v>
      </c>
      <c r="H6" s="8"/>
      <c r="I6" s="8" t="s">
        <v>203</v>
      </c>
      <c r="J6" s="8" t="s">
        <v>203</v>
      </c>
      <c r="K6" s="8" t="s">
        <v>203</v>
      </c>
      <c r="L6" s="8" t="s">
        <v>203</v>
      </c>
      <c r="M6" s="16">
        <v>46118</v>
      </c>
    </row>
    <row r="7" spans="1:14" ht="55.2" x14ac:dyDescent="0.3">
      <c r="A7" s="1" t="s">
        <v>3</v>
      </c>
      <c r="B7" s="1" t="s">
        <v>4</v>
      </c>
      <c r="C7" s="5" t="s">
        <v>91</v>
      </c>
      <c r="D7" s="5" t="s">
        <v>143</v>
      </c>
      <c r="E7" s="9" t="s">
        <v>171</v>
      </c>
      <c r="F7" s="8" t="s">
        <v>166</v>
      </c>
      <c r="G7" s="8">
        <v>0</v>
      </c>
      <c r="H7" s="8"/>
      <c r="I7" s="8" t="s">
        <v>203</v>
      </c>
      <c r="J7" s="8" t="s">
        <v>203</v>
      </c>
      <c r="K7" s="8" t="s">
        <v>203</v>
      </c>
      <c r="L7" s="8" t="s">
        <v>203</v>
      </c>
      <c r="M7" s="16">
        <v>46118</v>
      </c>
    </row>
    <row r="8" spans="1:14" ht="41.4" x14ac:dyDescent="0.3">
      <c r="A8" s="1" t="s">
        <v>5</v>
      </c>
      <c r="B8" s="1" t="s">
        <v>6</v>
      </c>
      <c r="C8" s="5" t="s">
        <v>93</v>
      </c>
      <c r="D8" s="5" t="s">
        <v>143</v>
      </c>
      <c r="E8" s="9" t="s">
        <v>152</v>
      </c>
      <c r="F8" s="8" t="s">
        <v>166</v>
      </c>
      <c r="G8" s="8" t="s">
        <v>173</v>
      </c>
      <c r="H8" s="8"/>
      <c r="I8" s="8" t="s">
        <v>203</v>
      </c>
      <c r="J8" s="8" t="s">
        <v>203</v>
      </c>
      <c r="K8" s="8" t="s">
        <v>203</v>
      </c>
      <c r="L8" s="8" t="s">
        <v>203</v>
      </c>
      <c r="M8" s="8"/>
    </row>
    <row r="9" spans="1:14" ht="27.6" x14ac:dyDescent="0.3">
      <c r="A9" s="1" t="s">
        <v>7</v>
      </c>
      <c r="B9" s="1" t="s">
        <v>8</v>
      </c>
      <c r="C9" s="5" t="s">
        <v>94</v>
      </c>
      <c r="D9" s="5" t="s">
        <v>143</v>
      </c>
      <c r="E9" s="9" t="s">
        <v>153</v>
      </c>
      <c r="F9" s="8" t="s">
        <v>167</v>
      </c>
      <c r="G9" s="8" t="s">
        <v>174</v>
      </c>
      <c r="H9" s="8"/>
      <c r="I9" s="8" t="s">
        <v>203</v>
      </c>
      <c r="J9" s="8" t="s">
        <v>203</v>
      </c>
      <c r="K9" s="8" t="s">
        <v>203</v>
      </c>
      <c r="L9" s="8" t="s">
        <v>203</v>
      </c>
      <c r="M9" s="8"/>
    </row>
    <row r="10" spans="1:14" ht="27.6" x14ac:dyDescent="0.3">
      <c r="A10" s="1" t="s">
        <v>7</v>
      </c>
      <c r="B10" s="1" t="s">
        <v>9</v>
      </c>
      <c r="C10" s="5" t="s">
        <v>95</v>
      </c>
      <c r="D10" s="5" t="s">
        <v>143</v>
      </c>
      <c r="E10" s="9" t="s">
        <v>153</v>
      </c>
      <c r="F10" s="8" t="s">
        <v>167</v>
      </c>
      <c r="G10" s="8" t="s">
        <v>174</v>
      </c>
      <c r="H10" s="8"/>
      <c r="I10" s="8" t="s">
        <v>203</v>
      </c>
      <c r="J10" s="8" t="s">
        <v>203</v>
      </c>
      <c r="K10" s="8" t="s">
        <v>203</v>
      </c>
      <c r="L10" s="8" t="s">
        <v>203</v>
      </c>
      <c r="M10" s="8"/>
    </row>
    <row r="11" spans="1:14" ht="27.6" x14ac:dyDescent="0.3">
      <c r="A11" s="1" t="s">
        <v>7</v>
      </c>
      <c r="B11" s="1" t="s">
        <v>10</v>
      </c>
      <c r="C11" s="5" t="s">
        <v>96</v>
      </c>
      <c r="D11" s="5" t="s">
        <v>143</v>
      </c>
      <c r="E11" s="9" t="s">
        <v>153</v>
      </c>
      <c r="F11" s="8" t="s">
        <v>167</v>
      </c>
      <c r="G11" s="8" t="s">
        <v>174</v>
      </c>
      <c r="H11" s="8"/>
      <c r="I11" s="8" t="s">
        <v>203</v>
      </c>
      <c r="J11" s="8" t="s">
        <v>203</v>
      </c>
      <c r="K11" s="8" t="s">
        <v>203</v>
      </c>
      <c r="L11" s="8" t="s">
        <v>203</v>
      </c>
      <c r="M11" s="8"/>
    </row>
    <row r="12" spans="1:14" ht="15.6" x14ac:dyDescent="0.3">
      <c r="A12" s="1" t="s">
        <v>7</v>
      </c>
      <c r="B12" s="1" t="s">
        <v>11</v>
      </c>
      <c r="C12" s="5" t="s">
        <v>97</v>
      </c>
      <c r="D12" s="5" t="s">
        <v>143</v>
      </c>
      <c r="E12" s="9" t="s">
        <v>153</v>
      </c>
      <c r="F12" s="8" t="s">
        <v>166</v>
      </c>
      <c r="G12" s="8">
        <v>0</v>
      </c>
      <c r="H12" s="8"/>
      <c r="I12" s="8" t="s">
        <v>203</v>
      </c>
      <c r="J12" s="8" t="s">
        <v>203</v>
      </c>
      <c r="K12" s="8" t="s">
        <v>203</v>
      </c>
      <c r="L12" s="8" t="s">
        <v>203</v>
      </c>
      <c r="M12" s="16">
        <v>46118</v>
      </c>
    </row>
    <row r="13" spans="1:14" ht="41.4" x14ac:dyDescent="0.3">
      <c r="A13" s="1" t="s">
        <v>12</v>
      </c>
      <c r="B13" s="1" t="s">
        <v>13</v>
      </c>
      <c r="C13" s="5" t="s">
        <v>98</v>
      </c>
      <c r="D13" s="5" t="s">
        <v>143</v>
      </c>
      <c r="E13" s="9" t="s">
        <v>154</v>
      </c>
      <c r="F13" s="8" t="s">
        <v>167</v>
      </c>
      <c r="G13" s="8" t="s">
        <v>175</v>
      </c>
      <c r="H13" s="8"/>
      <c r="I13" s="8" t="s">
        <v>203</v>
      </c>
      <c r="J13" s="8" t="s">
        <v>203</v>
      </c>
      <c r="K13" s="8" t="s">
        <v>203</v>
      </c>
      <c r="L13" s="8" t="s">
        <v>203</v>
      </c>
      <c r="M13" s="8"/>
    </row>
    <row r="14" spans="1:14" ht="39" x14ac:dyDescent="0.3">
      <c r="A14" s="1" t="s">
        <v>14</v>
      </c>
      <c r="B14" s="1" t="s">
        <v>15</v>
      </c>
      <c r="C14" s="5" t="s">
        <v>129</v>
      </c>
      <c r="D14" s="5" t="s">
        <v>143</v>
      </c>
      <c r="E14" s="9" t="s">
        <v>155</v>
      </c>
      <c r="F14" s="8" t="s">
        <v>166</v>
      </c>
      <c r="G14" s="8">
        <v>0</v>
      </c>
      <c r="H14" s="8"/>
      <c r="I14" s="8" t="s">
        <v>203</v>
      </c>
      <c r="J14" s="8" t="s">
        <v>203</v>
      </c>
      <c r="K14" s="8" t="s">
        <v>203</v>
      </c>
      <c r="L14" s="8" t="s">
        <v>203</v>
      </c>
      <c r="M14" s="16">
        <v>46118</v>
      </c>
    </row>
    <row r="15" spans="1:14" ht="39" x14ac:dyDescent="0.3">
      <c r="A15" s="1" t="s">
        <v>14</v>
      </c>
      <c r="B15" s="1" t="s">
        <v>16</v>
      </c>
      <c r="C15" s="5" t="s">
        <v>99</v>
      </c>
      <c r="D15" s="5" t="s">
        <v>143</v>
      </c>
      <c r="E15" s="9" t="s">
        <v>156</v>
      </c>
      <c r="F15" s="8" t="s">
        <v>166</v>
      </c>
      <c r="G15" s="8">
        <v>0</v>
      </c>
      <c r="H15" s="8"/>
      <c r="I15" s="8" t="s">
        <v>203</v>
      </c>
      <c r="J15" s="8" t="s">
        <v>203</v>
      </c>
      <c r="K15" s="8" t="s">
        <v>203</v>
      </c>
      <c r="L15" s="8" t="s">
        <v>203</v>
      </c>
      <c r="M15" s="16">
        <v>46118</v>
      </c>
    </row>
    <row r="16" spans="1:14" ht="41.4" x14ac:dyDescent="0.3">
      <c r="A16" s="1" t="s">
        <v>14</v>
      </c>
      <c r="B16" s="1" t="s">
        <v>17</v>
      </c>
      <c r="C16" s="5" t="s">
        <v>100</v>
      </c>
      <c r="D16" s="5" t="s">
        <v>143</v>
      </c>
      <c r="E16" s="9" t="s">
        <v>157</v>
      </c>
      <c r="F16" s="8" t="s">
        <v>166</v>
      </c>
      <c r="G16" s="8">
        <v>0</v>
      </c>
      <c r="H16" s="8"/>
      <c r="I16" s="8" t="s">
        <v>203</v>
      </c>
      <c r="J16" s="8" t="s">
        <v>203</v>
      </c>
      <c r="K16" s="8" t="s">
        <v>203</v>
      </c>
      <c r="L16" s="8" t="s">
        <v>203</v>
      </c>
      <c r="M16" s="16">
        <v>46118</v>
      </c>
    </row>
    <row r="17" spans="1:14" ht="31.2" customHeight="1" x14ac:dyDescent="0.3">
      <c r="A17" s="1" t="s">
        <v>18</v>
      </c>
      <c r="B17" s="1" t="s">
        <v>19</v>
      </c>
      <c r="C17" s="5" t="s">
        <v>130</v>
      </c>
      <c r="D17" s="5" t="s">
        <v>143</v>
      </c>
      <c r="E17" s="9" t="s">
        <v>145</v>
      </c>
      <c r="F17" s="8" t="s">
        <v>166</v>
      </c>
      <c r="G17" s="8">
        <v>0</v>
      </c>
      <c r="H17" s="8"/>
      <c r="I17" s="8" t="s">
        <v>203</v>
      </c>
      <c r="J17" s="8" t="s">
        <v>203</v>
      </c>
      <c r="K17" s="8" t="s">
        <v>203</v>
      </c>
      <c r="L17" s="8" t="s">
        <v>203</v>
      </c>
      <c r="M17" s="8"/>
      <c r="N17" s="13" t="s">
        <v>179</v>
      </c>
    </row>
    <row r="18" spans="1:14" ht="41.4" x14ac:dyDescent="0.3">
      <c r="A18" s="1" t="s">
        <v>22</v>
      </c>
      <c r="B18" s="1" t="s">
        <v>23</v>
      </c>
      <c r="C18" s="5" t="s">
        <v>102</v>
      </c>
      <c r="D18" s="5" t="s">
        <v>143</v>
      </c>
      <c r="E18" s="9" t="s">
        <v>159</v>
      </c>
      <c r="F18" s="8" t="s">
        <v>166</v>
      </c>
      <c r="G18" s="8">
        <v>0</v>
      </c>
      <c r="H18" s="8"/>
      <c r="I18" s="8" t="s">
        <v>203</v>
      </c>
      <c r="J18" s="8" t="s">
        <v>203</v>
      </c>
      <c r="K18" s="8">
        <v>0</v>
      </c>
      <c r="L18" s="8">
        <v>0</v>
      </c>
      <c r="M18" s="8"/>
      <c r="N18" s="13" t="s">
        <v>179</v>
      </c>
    </row>
    <row r="19" spans="1:14" ht="41.4" x14ac:dyDescent="0.3">
      <c r="A19" s="1" t="s">
        <v>24</v>
      </c>
      <c r="B19" s="1" t="s">
        <v>25</v>
      </c>
      <c r="C19" s="5" t="s">
        <v>103</v>
      </c>
      <c r="D19" s="5" t="s">
        <v>143</v>
      </c>
      <c r="E19" s="10" t="s">
        <v>160</v>
      </c>
      <c r="F19" s="8" t="s">
        <v>167</v>
      </c>
      <c r="H19" s="23"/>
      <c r="I19" t="s">
        <v>219</v>
      </c>
      <c r="J19" s="28">
        <v>46111</v>
      </c>
      <c r="K19" s="8">
        <v>0</v>
      </c>
      <c r="L19" s="8">
        <f>VLOOKUP(A19,[1]INCUMPLIMIENTO!$A$2:$M$32,13,0)</f>
        <v>0</v>
      </c>
      <c r="M19" s="8"/>
    </row>
    <row r="20" spans="1:14" ht="19.5" customHeight="1" x14ac:dyDescent="0.3">
      <c r="A20" s="1" t="s">
        <v>26</v>
      </c>
      <c r="B20" s="1" t="s">
        <v>27</v>
      </c>
      <c r="C20" s="5" t="s">
        <v>104</v>
      </c>
      <c r="D20" s="5" t="s">
        <v>143</v>
      </c>
      <c r="E20" s="10" t="s">
        <v>161</v>
      </c>
      <c r="F20" s="8" t="s">
        <v>167</v>
      </c>
      <c r="G20" s="8">
        <v>0</v>
      </c>
      <c r="H20" s="8"/>
      <c r="I20" s="8" t="s">
        <v>218</v>
      </c>
      <c r="J20" s="8"/>
      <c r="K20" s="8"/>
      <c r="L20" s="16"/>
      <c r="M20" s="8"/>
    </row>
    <row r="21" spans="1:14" ht="27.6" x14ac:dyDescent="0.3">
      <c r="A21" s="1" t="s">
        <v>28</v>
      </c>
      <c r="B21" s="1" t="s">
        <v>29</v>
      </c>
      <c r="C21" s="5" t="s">
        <v>105</v>
      </c>
      <c r="D21" s="5" t="s">
        <v>143</v>
      </c>
      <c r="E21" s="10"/>
      <c r="F21" s="8" t="s">
        <v>167</v>
      </c>
      <c r="G21" s="8">
        <v>0</v>
      </c>
      <c r="H21" s="8"/>
      <c r="I21" s="8" t="s">
        <v>194</v>
      </c>
      <c r="J21" s="8" t="s">
        <v>207</v>
      </c>
      <c r="K21" s="8" t="s">
        <v>212</v>
      </c>
      <c r="L21" s="16">
        <v>46111</v>
      </c>
      <c r="M21" s="8"/>
    </row>
    <row r="22" spans="1:14" ht="27.6" x14ac:dyDescent="0.3">
      <c r="A22" s="1" t="s">
        <v>30</v>
      </c>
      <c r="B22" s="1" t="s">
        <v>31</v>
      </c>
      <c r="C22" s="5" t="s">
        <v>106</v>
      </c>
      <c r="D22" s="5" t="s">
        <v>143</v>
      </c>
      <c r="E22" s="9"/>
      <c r="F22" s="8" t="s">
        <v>166</v>
      </c>
      <c r="G22" s="8">
        <v>0</v>
      </c>
      <c r="H22" s="8"/>
      <c r="I22" s="8" t="s">
        <v>198</v>
      </c>
      <c r="J22" s="8" t="s">
        <v>207</v>
      </c>
      <c r="K22" s="8" t="s">
        <v>213</v>
      </c>
      <c r="L22" s="16">
        <v>46111</v>
      </c>
      <c r="M22" s="8"/>
    </row>
    <row r="23" spans="1:14" ht="27.6" x14ac:dyDescent="0.3">
      <c r="A23" s="1" t="s">
        <v>30</v>
      </c>
      <c r="B23" s="1" t="s">
        <v>32</v>
      </c>
      <c r="C23" s="5" t="s">
        <v>131</v>
      </c>
      <c r="D23" s="5" t="s">
        <v>143</v>
      </c>
      <c r="E23" s="9"/>
      <c r="F23" s="8" t="s">
        <v>166</v>
      </c>
      <c r="G23" s="8">
        <v>0</v>
      </c>
      <c r="H23" s="8"/>
      <c r="I23" s="8" t="s">
        <v>198</v>
      </c>
      <c r="J23" s="8" t="s">
        <v>207</v>
      </c>
      <c r="K23" s="8" t="s">
        <v>213</v>
      </c>
      <c r="L23" s="16">
        <v>46111</v>
      </c>
      <c r="M23" s="8"/>
    </row>
    <row r="24" spans="1:14" ht="27.6" x14ac:dyDescent="0.3">
      <c r="A24" s="1" t="s">
        <v>30</v>
      </c>
      <c r="B24" s="1" t="s">
        <v>33</v>
      </c>
      <c r="C24" s="5" t="s">
        <v>107</v>
      </c>
      <c r="D24" s="5" t="s">
        <v>143</v>
      </c>
      <c r="E24" s="9"/>
      <c r="F24" s="8" t="s">
        <v>166</v>
      </c>
      <c r="G24" s="8">
        <v>0</v>
      </c>
      <c r="H24" s="8"/>
      <c r="I24" s="8" t="s">
        <v>198</v>
      </c>
      <c r="J24" s="8" t="s">
        <v>207</v>
      </c>
      <c r="K24" s="8" t="s">
        <v>213</v>
      </c>
      <c r="L24" s="16">
        <v>46111</v>
      </c>
      <c r="M24" s="8"/>
    </row>
    <row r="25" spans="1:14" ht="27.6" x14ac:dyDescent="0.3">
      <c r="A25" s="1" t="s">
        <v>30</v>
      </c>
      <c r="B25" s="1" t="s">
        <v>34</v>
      </c>
      <c r="C25" s="5" t="s">
        <v>108</v>
      </c>
      <c r="D25" s="5" t="s">
        <v>143</v>
      </c>
      <c r="E25" s="9"/>
      <c r="F25" s="8" t="s">
        <v>167</v>
      </c>
      <c r="G25" s="8">
        <v>0</v>
      </c>
      <c r="H25" s="8"/>
      <c r="I25" s="8" t="s">
        <v>198</v>
      </c>
      <c r="J25" s="8" t="s">
        <v>207</v>
      </c>
      <c r="K25" s="8" t="s">
        <v>213</v>
      </c>
      <c r="L25" s="16">
        <v>46111</v>
      </c>
      <c r="M25" s="8"/>
    </row>
    <row r="26" spans="1:14" ht="27.6" x14ac:dyDescent="0.3">
      <c r="A26" s="1" t="s">
        <v>35</v>
      </c>
      <c r="B26" s="1" t="s">
        <v>36</v>
      </c>
      <c r="C26" s="5" t="s">
        <v>109</v>
      </c>
      <c r="D26" s="5" t="s">
        <v>144</v>
      </c>
      <c r="E26" s="9" t="s">
        <v>195</v>
      </c>
      <c r="F26" s="8">
        <v>0</v>
      </c>
      <c r="G26" s="8">
        <v>0</v>
      </c>
      <c r="H26" s="8"/>
      <c r="I26" s="8" t="s">
        <v>196</v>
      </c>
      <c r="J26" s="8" t="s">
        <v>207</v>
      </c>
      <c r="K26" s="15" t="s">
        <v>225</v>
      </c>
      <c r="L26" s="16">
        <v>46111</v>
      </c>
      <c r="M26" s="8"/>
    </row>
    <row r="27" spans="1:14" ht="27.6" x14ac:dyDescent="0.3">
      <c r="A27" s="1" t="s">
        <v>35</v>
      </c>
      <c r="B27" s="1" t="s">
        <v>37</v>
      </c>
      <c r="C27" s="5" t="s">
        <v>110</v>
      </c>
      <c r="D27" s="5" t="s">
        <v>144</v>
      </c>
      <c r="E27" s="9"/>
      <c r="F27" s="8">
        <v>0</v>
      </c>
      <c r="G27" s="8">
        <v>0</v>
      </c>
      <c r="H27" s="8"/>
      <c r="I27" s="8" t="s">
        <v>196</v>
      </c>
      <c r="J27" s="8" t="s">
        <v>207</v>
      </c>
      <c r="K27" s="15" t="s">
        <v>225</v>
      </c>
      <c r="L27" s="16">
        <v>46111</v>
      </c>
      <c r="M27" s="8"/>
    </row>
    <row r="28" spans="1:14" ht="55.2" x14ac:dyDescent="0.3">
      <c r="A28" s="1" t="s">
        <v>35</v>
      </c>
      <c r="B28" s="1" t="s">
        <v>38</v>
      </c>
      <c r="C28" s="5" t="s">
        <v>132</v>
      </c>
      <c r="D28" s="5" t="s">
        <v>144</v>
      </c>
      <c r="E28" s="9"/>
      <c r="F28" s="8">
        <v>0</v>
      </c>
      <c r="G28" s="8">
        <v>0</v>
      </c>
      <c r="H28" s="8"/>
      <c r="I28" s="8" t="s">
        <v>196</v>
      </c>
      <c r="J28" s="8" t="s">
        <v>207</v>
      </c>
      <c r="K28" s="15" t="s">
        <v>225</v>
      </c>
      <c r="L28" s="16">
        <v>46111</v>
      </c>
      <c r="M28" s="8"/>
    </row>
    <row r="29" spans="1:14" ht="41.4" x14ac:dyDescent="0.3">
      <c r="A29" s="1" t="s">
        <v>39</v>
      </c>
      <c r="B29" s="1" t="s">
        <v>40</v>
      </c>
      <c r="C29" s="5" t="s">
        <v>111</v>
      </c>
      <c r="D29" s="5" t="s">
        <v>143</v>
      </c>
      <c r="E29" s="9" t="s">
        <v>149</v>
      </c>
      <c r="F29" s="8" t="s">
        <v>166</v>
      </c>
      <c r="G29" s="8" t="s">
        <v>176</v>
      </c>
      <c r="H29" s="24">
        <v>46119</v>
      </c>
      <c r="I29" s="8" t="s">
        <v>203</v>
      </c>
      <c r="J29" s="8" t="s">
        <v>203</v>
      </c>
      <c r="K29" s="8" t="s">
        <v>203</v>
      </c>
      <c r="L29" s="8" t="s">
        <v>203</v>
      </c>
      <c r="M29" s="8"/>
    </row>
    <row r="30" spans="1:14" ht="41.4" x14ac:dyDescent="0.3">
      <c r="A30" s="1" t="s">
        <v>41</v>
      </c>
      <c r="B30" s="1" t="s">
        <v>42</v>
      </c>
      <c r="C30" s="5" t="s">
        <v>112</v>
      </c>
      <c r="D30" s="5" t="s">
        <v>143</v>
      </c>
      <c r="E30" s="10"/>
      <c r="F30" s="8" t="s">
        <v>167</v>
      </c>
      <c r="G30" s="8">
        <v>0</v>
      </c>
      <c r="H30" s="8"/>
      <c r="I30" s="8" t="s">
        <v>193</v>
      </c>
      <c r="J30" s="8" t="s">
        <v>207</v>
      </c>
      <c r="K30" s="8" t="s">
        <v>214</v>
      </c>
      <c r="L30" s="16">
        <v>46111</v>
      </c>
      <c r="M30" s="8"/>
    </row>
    <row r="31" spans="1:14" ht="55.2" x14ac:dyDescent="0.3">
      <c r="A31" s="1" t="s">
        <v>41</v>
      </c>
      <c r="B31" s="1" t="s">
        <v>43</v>
      </c>
      <c r="C31" s="5" t="s">
        <v>113</v>
      </c>
      <c r="D31" s="5" t="s">
        <v>143</v>
      </c>
      <c r="E31" s="10"/>
      <c r="F31" s="8" t="s">
        <v>167</v>
      </c>
      <c r="G31" s="8">
        <v>0</v>
      </c>
      <c r="H31" s="8"/>
      <c r="I31" s="8" t="s">
        <v>193</v>
      </c>
      <c r="J31" s="8" t="s">
        <v>207</v>
      </c>
      <c r="K31" s="8" t="s">
        <v>214</v>
      </c>
      <c r="L31" s="16">
        <v>46111</v>
      </c>
      <c r="M31" s="8"/>
    </row>
    <row r="32" spans="1:14" ht="24" customHeight="1" x14ac:dyDescent="0.3">
      <c r="A32" s="1" t="s">
        <v>44</v>
      </c>
      <c r="B32" s="1" t="s">
        <v>45</v>
      </c>
      <c r="C32" s="5" t="s">
        <v>114</v>
      </c>
      <c r="D32" s="5" t="s">
        <v>143</v>
      </c>
      <c r="E32" s="9" t="s">
        <v>147</v>
      </c>
      <c r="F32" s="8" t="s">
        <v>167</v>
      </c>
      <c r="G32" s="21">
        <v>0</v>
      </c>
      <c r="H32" s="21"/>
      <c r="I32" s="8">
        <v>0</v>
      </c>
      <c r="J32" s="8">
        <v>0</v>
      </c>
      <c r="K32" s="8">
        <v>0</v>
      </c>
      <c r="L32" s="8">
        <v>0</v>
      </c>
      <c r="M32" s="8"/>
    </row>
    <row r="33" spans="1:14" ht="27.45" customHeight="1" x14ac:dyDescent="0.3">
      <c r="A33" s="1" t="s">
        <v>35</v>
      </c>
      <c r="B33" s="1" t="s">
        <v>46</v>
      </c>
      <c r="C33" s="5" t="s">
        <v>133</v>
      </c>
      <c r="D33" s="5" t="s">
        <v>143</v>
      </c>
      <c r="E33" s="10"/>
      <c r="F33" s="8" t="s">
        <v>167</v>
      </c>
      <c r="G33" s="8">
        <v>0</v>
      </c>
      <c r="H33" s="8"/>
      <c r="I33" s="8" t="s">
        <v>196</v>
      </c>
      <c r="J33" s="8" t="s">
        <v>207</v>
      </c>
      <c r="K33" s="8">
        <v>0</v>
      </c>
      <c r="L33" s="8">
        <f>VLOOKUP(A33,[1]INCUMPLIMIENTO!$A$2:$M$32,13,0)</f>
        <v>0</v>
      </c>
      <c r="M33" s="8"/>
    </row>
    <row r="34" spans="1:14" ht="41.4" x14ac:dyDescent="0.3">
      <c r="A34" s="1" t="s">
        <v>47</v>
      </c>
      <c r="B34" s="1" t="s">
        <v>48</v>
      </c>
      <c r="C34" s="5" t="s">
        <v>88</v>
      </c>
      <c r="D34" s="5" t="s">
        <v>143</v>
      </c>
      <c r="E34" s="9" t="s">
        <v>162</v>
      </c>
      <c r="F34" s="8" t="s">
        <v>167</v>
      </c>
      <c r="G34" s="20"/>
      <c r="H34" s="20"/>
      <c r="I34" s="8" t="s">
        <v>178</v>
      </c>
      <c r="J34" s="8" t="s">
        <v>207</v>
      </c>
      <c r="K34" s="8">
        <v>0</v>
      </c>
      <c r="L34" s="8">
        <f>VLOOKUP(A34,[1]INCUMPLIMIENTO!$A$2:$M$32,13,0)</f>
        <v>0</v>
      </c>
      <c r="M34" s="8"/>
    </row>
    <row r="35" spans="1:14" ht="41.4" x14ac:dyDescent="0.3">
      <c r="A35" s="1" t="s">
        <v>18</v>
      </c>
      <c r="B35" s="1" t="s">
        <v>50</v>
      </c>
      <c r="C35" s="5" t="s">
        <v>135</v>
      </c>
      <c r="D35" s="5" t="s">
        <v>143</v>
      </c>
      <c r="E35" s="9" t="s">
        <v>164</v>
      </c>
      <c r="F35" s="8" t="s">
        <v>167</v>
      </c>
      <c r="G35" s="8" t="s">
        <v>177</v>
      </c>
      <c r="H35" s="8"/>
      <c r="I35" s="8" t="s">
        <v>203</v>
      </c>
      <c r="J35" s="8" t="s">
        <v>203</v>
      </c>
      <c r="K35" s="8" t="s">
        <v>203</v>
      </c>
      <c r="L35" s="8" t="s">
        <v>203</v>
      </c>
      <c r="M35" s="8"/>
    </row>
    <row r="36" spans="1:14" ht="41.4" x14ac:dyDescent="0.3">
      <c r="A36" s="1" t="s">
        <v>35</v>
      </c>
      <c r="B36" s="1" t="s">
        <v>51</v>
      </c>
      <c r="C36" s="5" t="s">
        <v>89</v>
      </c>
      <c r="D36" s="5" t="s">
        <v>143</v>
      </c>
      <c r="E36" s="9">
        <v>0</v>
      </c>
      <c r="F36" s="8" t="s">
        <v>167</v>
      </c>
      <c r="G36" s="8">
        <v>0</v>
      </c>
      <c r="H36" s="8"/>
      <c r="I36" s="8" t="s">
        <v>196</v>
      </c>
      <c r="J36" s="8" t="s">
        <v>207</v>
      </c>
      <c r="K36" s="8">
        <v>0</v>
      </c>
      <c r="L36" s="8">
        <f>VLOOKUP(A36,[1]INCUMPLIMIENTO!$A$2:$M$32,13,0)</f>
        <v>0</v>
      </c>
      <c r="M36" s="8"/>
    </row>
    <row r="37" spans="1:14" ht="41.4" x14ac:dyDescent="0.3">
      <c r="A37" s="1" t="s">
        <v>52</v>
      </c>
      <c r="B37" s="1" t="s">
        <v>53</v>
      </c>
      <c r="C37" s="5" t="s">
        <v>136</v>
      </c>
      <c r="D37" s="5" t="s">
        <v>143</v>
      </c>
      <c r="E37" s="9" t="s">
        <v>165</v>
      </c>
      <c r="F37" s="8" t="s">
        <v>166</v>
      </c>
      <c r="G37" s="8">
        <v>0</v>
      </c>
      <c r="H37" s="8"/>
      <c r="I37" s="8" t="s">
        <v>203</v>
      </c>
      <c r="J37" s="8" t="s">
        <v>203</v>
      </c>
      <c r="K37" s="8" t="s">
        <v>203</v>
      </c>
      <c r="L37" s="8" t="s">
        <v>203</v>
      </c>
      <c r="M37" s="16">
        <v>46118</v>
      </c>
    </row>
    <row r="38" spans="1:14" ht="41.4" x14ac:dyDescent="0.3">
      <c r="A38" s="11" t="s">
        <v>20</v>
      </c>
      <c r="B38" s="11" t="s">
        <v>54</v>
      </c>
      <c r="C38" s="17" t="s">
        <v>115</v>
      </c>
      <c r="D38" s="17" t="s">
        <v>143</v>
      </c>
      <c r="E38" s="18" t="s">
        <v>146</v>
      </c>
      <c r="F38" s="19" t="s">
        <v>166</v>
      </c>
      <c r="G38" s="8">
        <v>0</v>
      </c>
      <c r="H38" s="8"/>
      <c r="I38" s="8" t="s">
        <v>203</v>
      </c>
      <c r="J38" s="8" t="s">
        <v>203</v>
      </c>
      <c r="K38" s="8" t="s">
        <v>203</v>
      </c>
      <c r="L38" s="8" t="s">
        <v>203</v>
      </c>
      <c r="M38" s="8"/>
      <c r="N38" s="13" t="s">
        <v>179</v>
      </c>
    </row>
    <row r="39" spans="1:14" ht="18" customHeight="1" x14ac:dyDescent="0.3">
      <c r="A39" s="1" t="s">
        <v>55</v>
      </c>
      <c r="B39" s="1" t="s">
        <v>56</v>
      </c>
      <c r="C39" s="14" t="s">
        <v>83</v>
      </c>
      <c r="D39" s="5" t="s">
        <v>143</v>
      </c>
      <c r="E39" s="9">
        <v>0</v>
      </c>
      <c r="F39" s="8" t="s">
        <v>167</v>
      </c>
      <c r="G39" s="8">
        <v>0</v>
      </c>
      <c r="H39" s="8"/>
      <c r="I39" s="8" t="s">
        <v>199</v>
      </c>
      <c r="J39" s="8">
        <v>0</v>
      </c>
      <c r="K39" s="8">
        <v>0</v>
      </c>
      <c r="L39" s="8">
        <v>0</v>
      </c>
      <c r="M39" s="8"/>
    </row>
    <row r="40" spans="1:14" ht="7.95" customHeight="1" x14ac:dyDescent="0.3">
      <c r="A40" s="1" t="s">
        <v>57</v>
      </c>
      <c r="B40" s="1" t="s">
        <v>58</v>
      </c>
      <c r="C40" s="5" t="s">
        <v>137</v>
      </c>
      <c r="D40" s="5" t="s">
        <v>143</v>
      </c>
      <c r="E40" s="9" t="s">
        <v>148</v>
      </c>
      <c r="F40" s="8" t="s">
        <v>167</v>
      </c>
      <c r="G40" s="8" t="s">
        <v>177</v>
      </c>
      <c r="H40" s="8"/>
      <c r="I40" s="8" t="s">
        <v>203</v>
      </c>
      <c r="J40" s="8" t="s">
        <v>203</v>
      </c>
      <c r="K40" s="8" t="s">
        <v>203</v>
      </c>
      <c r="L40" s="8" t="s">
        <v>203</v>
      </c>
      <c r="M40" s="8"/>
    </row>
    <row r="41" spans="1:14" ht="34.5" customHeight="1" x14ac:dyDescent="0.3">
      <c r="A41" s="1" t="s">
        <v>59</v>
      </c>
      <c r="B41" s="1" t="s">
        <v>60</v>
      </c>
      <c r="C41" s="5" t="s">
        <v>84</v>
      </c>
      <c r="D41" s="5" t="s">
        <v>144</v>
      </c>
      <c r="E41" s="9">
        <v>0</v>
      </c>
      <c r="F41" s="8">
        <v>0</v>
      </c>
      <c r="G41" s="8">
        <v>0</v>
      </c>
      <c r="H41" s="8"/>
      <c r="I41" s="8" t="s">
        <v>178</v>
      </c>
      <c r="J41" s="16">
        <v>46063</v>
      </c>
      <c r="K41" s="8">
        <v>0</v>
      </c>
      <c r="L41" s="8">
        <v>0</v>
      </c>
      <c r="M41" s="8"/>
    </row>
    <row r="42" spans="1:14" ht="39.450000000000003" customHeight="1" x14ac:dyDescent="0.3">
      <c r="A42" s="1" t="s">
        <v>61</v>
      </c>
      <c r="B42" s="1" t="s">
        <v>62</v>
      </c>
      <c r="C42" s="5" t="s">
        <v>85</v>
      </c>
      <c r="D42" s="5" t="s">
        <v>143</v>
      </c>
      <c r="E42" s="9">
        <v>0</v>
      </c>
      <c r="F42" s="8">
        <v>0</v>
      </c>
      <c r="G42" s="8">
        <v>0</v>
      </c>
      <c r="H42" s="8"/>
      <c r="I42" t="s">
        <v>220</v>
      </c>
      <c r="J42" s="22">
        <v>46111</v>
      </c>
      <c r="K42" s="8">
        <v>0</v>
      </c>
      <c r="L42" s="8">
        <v>0</v>
      </c>
      <c r="M42" s="8"/>
    </row>
    <row r="43" spans="1:14" ht="47.55" customHeight="1" x14ac:dyDescent="0.3">
      <c r="A43" s="1" t="s">
        <v>65</v>
      </c>
      <c r="B43" s="1" t="s">
        <v>66</v>
      </c>
      <c r="C43" s="5" t="s">
        <v>87</v>
      </c>
      <c r="D43" s="5" t="s">
        <v>143</v>
      </c>
      <c r="E43" s="9">
        <v>0</v>
      </c>
      <c r="F43" s="8">
        <v>0</v>
      </c>
      <c r="G43" s="8">
        <v>0</v>
      </c>
      <c r="H43" s="8"/>
      <c r="I43" t="s">
        <v>221</v>
      </c>
      <c r="J43" s="22">
        <v>46111</v>
      </c>
      <c r="K43" s="8">
        <v>0</v>
      </c>
      <c r="L43" s="8">
        <v>0</v>
      </c>
      <c r="M43" s="8"/>
    </row>
    <row r="44" spans="1:14" ht="30" customHeight="1" x14ac:dyDescent="0.3">
      <c r="A44" s="1" t="s">
        <v>67</v>
      </c>
      <c r="B44" s="1" t="s">
        <v>68</v>
      </c>
      <c r="C44" s="5" t="s">
        <v>138</v>
      </c>
      <c r="D44" s="5" t="s">
        <v>143</v>
      </c>
      <c r="E44" s="9"/>
      <c r="F44" s="8" t="s">
        <v>167</v>
      </c>
      <c r="G44" s="8">
        <v>0</v>
      </c>
      <c r="H44" s="8"/>
      <c r="I44" s="8" t="s">
        <v>200</v>
      </c>
      <c r="J44" s="8" t="s">
        <v>207</v>
      </c>
      <c r="K44" s="8" t="s">
        <v>226</v>
      </c>
      <c r="L44" s="16">
        <v>46111</v>
      </c>
      <c r="M44" s="8"/>
    </row>
    <row r="45" spans="1:14" ht="35.4" customHeight="1" x14ac:dyDescent="0.3">
      <c r="A45" s="1" t="s">
        <v>67</v>
      </c>
      <c r="B45" s="1" t="s">
        <v>69</v>
      </c>
      <c r="C45" s="5" t="s">
        <v>139</v>
      </c>
      <c r="D45" s="5" t="s">
        <v>143</v>
      </c>
      <c r="E45" s="9"/>
      <c r="F45" s="8" t="s">
        <v>167</v>
      </c>
      <c r="G45" s="8">
        <v>0</v>
      </c>
      <c r="H45" s="8"/>
      <c r="I45" s="8" t="s">
        <v>200</v>
      </c>
      <c r="J45" s="8" t="s">
        <v>207</v>
      </c>
      <c r="K45" s="8" t="s">
        <v>226</v>
      </c>
      <c r="L45" s="16">
        <v>46111</v>
      </c>
      <c r="M45" s="8"/>
    </row>
    <row r="46" spans="1:14" ht="29.4" customHeight="1" x14ac:dyDescent="0.3">
      <c r="A46" s="1" t="s">
        <v>67</v>
      </c>
      <c r="B46" s="1" t="s">
        <v>70</v>
      </c>
      <c r="C46" s="5" t="s">
        <v>140</v>
      </c>
      <c r="D46" s="5" t="s">
        <v>143</v>
      </c>
      <c r="E46" s="9"/>
      <c r="F46" s="8" t="s">
        <v>167</v>
      </c>
      <c r="G46" s="8">
        <v>0</v>
      </c>
      <c r="H46" s="8"/>
      <c r="I46" s="8" t="s">
        <v>200</v>
      </c>
      <c r="J46" s="8" t="s">
        <v>207</v>
      </c>
      <c r="K46" s="8" t="s">
        <v>226</v>
      </c>
      <c r="L46" s="16">
        <v>46111</v>
      </c>
      <c r="M46" s="8"/>
    </row>
    <row r="47" spans="1:14" ht="27.6" x14ac:dyDescent="0.3">
      <c r="A47" s="1" t="s">
        <v>71</v>
      </c>
      <c r="B47" s="1" t="s">
        <v>72</v>
      </c>
      <c r="C47" s="5" t="s">
        <v>116</v>
      </c>
      <c r="D47" s="5" t="s">
        <v>143</v>
      </c>
      <c r="E47" s="9" t="s">
        <v>150</v>
      </c>
      <c r="F47" s="8" t="s">
        <v>166</v>
      </c>
      <c r="G47" s="8">
        <v>0</v>
      </c>
      <c r="H47" s="8"/>
      <c r="I47" s="8" t="s">
        <v>199</v>
      </c>
      <c r="J47" s="8" t="s">
        <v>206</v>
      </c>
      <c r="K47" s="8">
        <v>0</v>
      </c>
      <c r="L47" s="8">
        <f>VLOOKUP(A47,[1]INCUMPLIMIENTO!$A$2:$M$32,13,0)</f>
        <v>0</v>
      </c>
      <c r="M47" s="8"/>
    </row>
    <row r="48" spans="1:14" ht="41.4" x14ac:dyDescent="0.3">
      <c r="A48" s="1" t="s">
        <v>71</v>
      </c>
      <c r="B48" s="1" t="s">
        <v>73</v>
      </c>
      <c r="C48" s="5" t="s">
        <v>117</v>
      </c>
      <c r="D48" s="5" t="s">
        <v>143</v>
      </c>
      <c r="E48" s="9" t="s">
        <v>150</v>
      </c>
      <c r="F48" s="8" t="s">
        <v>166</v>
      </c>
      <c r="G48" s="8">
        <v>0</v>
      </c>
      <c r="H48" s="8"/>
      <c r="I48" s="8" t="s">
        <v>199</v>
      </c>
      <c r="J48" s="8" t="s">
        <v>206</v>
      </c>
      <c r="K48" s="8">
        <v>0</v>
      </c>
      <c r="L48" s="8">
        <f>VLOOKUP(A48,[1]INCUMPLIMIENTO!$A$2:$M$32,13,0)</f>
        <v>0</v>
      </c>
      <c r="M48" s="8"/>
      <c r="N48" s="13" t="s">
        <v>179</v>
      </c>
    </row>
    <row r="49" spans="1:13" ht="41.4" x14ac:dyDescent="0.3">
      <c r="A49" s="1" t="s">
        <v>74</v>
      </c>
      <c r="B49" s="1" t="s">
        <v>75</v>
      </c>
      <c r="C49" s="5" t="s">
        <v>118</v>
      </c>
      <c r="D49" s="5" t="s">
        <v>144</v>
      </c>
      <c r="E49" s="9"/>
      <c r="F49" s="8">
        <v>0</v>
      </c>
      <c r="G49" s="8">
        <v>0</v>
      </c>
      <c r="H49" s="8"/>
      <c r="I49" s="8" t="s">
        <v>201</v>
      </c>
      <c r="J49" s="8" t="s">
        <v>207</v>
      </c>
      <c r="K49" s="8" t="s">
        <v>229</v>
      </c>
      <c r="L49" s="16">
        <v>46111</v>
      </c>
      <c r="M49" s="8"/>
    </row>
    <row r="50" spans="1:13" ht="69" x14ac:dyDescent="0.3">
      <c r="A50" s="1" t="s">
        <v>74</v>
      </c>
      <c r="B50" s="1" t="s">
        <v>76</v>
      </c>
      <c r="C50" s="5" t="s">
        <v>141</v>
      </c>
      <c r="D50" s="5" t="s">
        <v>144</v>
      </c>
      <c r="E50" s="9"/>
      <c r="F50" s="8">
        <v>0</v>
      </c>
      <c r="G50" s="8">
        <v>0</v>
      </c>
      <c r="H50" s="8"/>
      <c r="I50" s="8" t="s">
        <v>201</v>
      </c>
      <c r="J50" s="8" t="s">
        <v>207</v>
      </c>
      <c r="K50" s="8" t="s">
        <v>229</v>
      </c>
      <c r="L50" s="16">
        <v>46111</v>
      </c>
      <c r="M50" s="8"/>
    </row>
    <row r="51" spans="1:13" ht="27.6" x14ac:dyDescent="0.3">
      <c r="A51" s="1" t="s">
        <v>77</v>
      </c>
      <c r="B51" s="1" t="s">
        <v>78</v>
      </c>
      <c r="C51" s="5" t="s">
        <v>119</v>
      </c>
      <c r="D51" s="5" t="s">
        <v>143</v>
      </c>
      <c r="E51" s="9"/>
      <c r="F51" s="8" t="s">
        <v>167</v>
      </c>
      <c r="G51" s="8">
        <v>0</v>
      </c>
      <c r="H51" s="8"/>
      <c r="I51" s="8" t="s">
        <v>202</v>
      </c>
      <c r="J51" s="8" t="s">
        <v>208</v>
      </c>
      <c r="K51" s="8" t="s">
        <v>228</v>
      </c>
      <c r="L51" s="16">
        <v>46111</v>
      </c>
      <c r="M51" s="8"/>
    </row>
    <row r="52" spans="1:13" ht="41.4" x14ac:dyDescent="0.3">
      <c r="A52" s="1" t="s">
        <v>77</v>
      </c>
      <c r="B52" s="1" t="s">
        <v>79</v>
      </c>
      <c r="C52" s="5" t="s">
        <v>120</v>
      </c>
      <c r="D52" s="5" t="s">
        <v>223</v>
      </c>
      <c r="E52" s="9">
        <v>0</v>
      </c>
      <c r="F52" s="8" t="s">
        <v>167</v>
      </c>
      <c r="G52" s="8">
        <v>0</v>
      </c>
      <c r="H52" s="8"/>
      <c r="I52" s="8" t="s">
        <v>202</v>
      </c>
      <c r="J52" s="8" t="s">
        <v>208</v>
      </c>
      <c r="K52" s="8" t="s">
        <v>215</v>
      </c>
      <c r="L52" s="16">
        <v>46111</v>
      </c>
      <c r="M52" s="8"/>
    </row>
    <row r="53" spans="1:13" ht="41.4" x14ac:dyDescent="0.3">
      <c r="A53" s="1" t="s">
        <v>77</v>
      </c>
      <c r="B53" s="1" t="s">
        <v>80</v>
      </c>
      <c r="C53" s="5" t="s">
        <v>121</v>
      </c>
      <c r="D53" s="5" t="s">
        <v>143</v>
      </c>
      <c r="E53" s="9">
        <v>0</v>
      </c>
      <c r="F53" s="8" t="s">
        <v>167</v>
      </c>
      <c r="G53" s="8">
        <v>0</v>
      </c>
      <c r="H53" s="8"/>
      <c r="I53" s="8" t="s">
        <v>202</v>
      </c>
      <c r="J53" s="8" t="s">
        <v>208</v>
      </c>
      <c r="K53" s="8" t="s">
        <v>228</v>
      </c>
      <c r="L53" s="16">
        <v>46111</v>
      </c>
      <c r="M53" s="8"/>
    </row>
    <row r="54" spans="1:13" ht="27.6" x14ac:dyDescent="0.3">
      <c r="A54" s="11" t="s">
        <v>81</v>
      </c>
      <c r="B54" s="1" t="s">
        <v>82</v>
      </c>
      <c r="C54" s="5" t="s">
        <v>142</v>
      </c>
      <c r="D54" s="5" t="s">
        <v>143</v>
      </c>
      <c r="E54" s="9">
        <v>0</v>
      </c>
      <c r="F54" s="8" t="s">
        <v>167</v>
      </c>
      <c r="G54" s="8">
        <v>0</v>
      </c>
      <c r="H54" s="8"/>
      <c r="I54" s="8" t="s">
        <v>181</v>
      </c>
      <c r="J54" s="8" t="s">
        <v>208</v>
      </c>
      <c r="K54" s="8" t="s">
        <v>216</v>
      </c>
      <c r="L54" s="16">
        <v>46111</v>
      </c>
      <c r="M54" s="8"/>
    </row>
    <row r="55" spans="1:13" ht="27.6" x14ac:dyDescent="0.3">
      <c r="A55" s="11" t="s">
        <v>81</v>
      </c>
      <c r="B55" s="1" t="s">
        <v>82</v>
      </c>
      <c r="C55" s="5" t="s">
        <v>142</v>
      </c>
      <c r="D55" s="5" t="s">
        <v>143</v>
      </c>
      <c r="E55" s="9">
        <v>0</v>
      </c>
      <c r="F55" s="8" t="s">
        <v>167</v>
      </c>
      <c r="G55" s="8">
        <v>0</v>
      </c>
      <c r="H55" s="8"/>
      <c r="I55" s="8" t="s">
        <v>181</v>
      </c>
      <c r="J55" s="8" t="s">
        <v>208</v>
      </c>
      <c r="K55" s="8" t="s">
        <v>216</v>
      </c>
      <c r="L55" s="16">
        <v>46111</v>
      </c>
    </row>
    <row r="56" spans="1:13" ht="39.6" customHeight="1" x14ac:dyDescent="0.3">
      <c r="A56" s="25" t="s">
        <v>81</v>
      </c>
      <c r="B56" s="1"/>
      <c r="C56" s="5" t="s">
        <v>180</v>
      </c>
      <c r="D56" s="5" t="s">
        <v>144</v>
      </c>
      <c r="E56" s="27"/>
      <c r="F56" s="8"/>
      <c r="G56" s="8"/>
      <c r="H56" s="8"/>
      <c r="I56" s="8" t="s">
        <v>181</v>
      </c>
      <c r="J56" s="8" t="s">
        <v>208</v>
      </c>
      <c r="K56" s="8" t="s">
        <v>227</v>
      </c>
      <c r="L56" s="16">
        <v>46111</v>
      </c>
    </row>
    <row r="57" spans="1:13" ht="25.8" customHeight="1" x14ac:dyDescent="0.3">
      <c r="A57" s="25" t="s">
        <v>81</v>
      </c>
      <c r="B57" s="1"/>
      <c r="C57" s="5" t="s">
        <v>182</v>
      </c>
      <c r="D57" s="5" t="s">
        <v>144</v>
      </c>
      <c r="E57" s="27"/>
      <c r="F57" s="8"/>
      <c r="G57" s="8"/>
      <c r="H57" s="8"/>
      <c r="I57" s="8" t="s">
        <v>181</v>
      </c>
      <c r="J57" s="8" t="s">
        <v>208</v>
      </c>
      <c r="K57" s="8" t="s">
        <v>227</v>
      </c>
      <c r="L57" s="16">
        <v>46111</v>
      </c>
    </row>
    <row r="58" spans="1:13" ht="41.4" x14ac:dyDescent="0.3">
      <c r="A58" s="1" t="s">
        <v>183</v>
      </c>
      <c r="B58" s="1"/>
      <c r="C58" s="5" t="s">
        <v>184</v>
      </c>
      <c r="D58" s="5" t="s">
        <v>144</v>
      </c>
      <c r="E58" s="9"/>
      <c r="F58" s="8"/>
      <c r="G58" s="8"/>
      <c r="H58" s="8"/>
      <c r="I58" s="8" t="s">
        <v>205</v>
      </c>
      <c r="J58" s="8" t="s">
        <v>209</v>
      </c>
      <c r="K58" s="8" t="s">
        <v>230</v>
      </c>
      <c r="L58" s="16">
        <v>46111</v>
      </c>
    </row>
    <row r="59" spans="1:13" ht="55.2" x14ac:dyDescent="0.3">
      <c r="A59" s="1" t="s">
        <v>183</v>
      </c>
      <c r="B59" s="1"/>
      <c r="C59" s="5" t="s">
        <v>185</v>
      </c>
      <c r="D59" s="5" t="s">
        <v>144</v>
      </c>
      <c r="E59" s="9"/>
      <c r="F59" s="8"/>
      <c r="G59" s="8"/>
      <c r="H59" s="8"/>
      <c r="I59" s="8" t="s">
        <v>205</v>
      </c>
      <c r="J59" s="8" t="s">
        <v>209</v>
      </c>
      <c r="K59" s="8" t="s">
        <v>230</v>
      </c>
      <c r="L59" s="16">
        <v>46111</v>
      </c>
    </row>
    <row r="60" spans="1:13" x14ac:dyDescent="0.3">
      <c r="A60" s="1" t="s">
        <v>183</v>
      </c>
      <c r="B60" s="1"/>
      <c r="C60" s="5" t="s">
        <v>182</v>
      </c>
      <c r="D60" s="5" t="s">
        <v>144</v>
      </c>
      <c r="E60" s="9"/>
      <c r="F60" s="8"/>
      <c r="G60" s="8"/>
      <c r="H60" s="8"/>
      <c r="I60" s="8" t="s">
        <v>205</v>
      </c>
      <c r="J60" s="8" t="s">
        <v>209</v>
      </c>
      <c r="K60" s="8" t="s">
        <v>230</v>
      </c>
      <c r="L60" s="16">
        <v>46111</v>
      </c>
    </row>
    <row r="61" spans="1:13" x14ac:dyDescent="0.3">
      <c r="A61" s="1" t="s">
        <v>24</v>
      </c>
      <c r="B61" s="1"/>
      <c r="C61" s="26" t="s">
        <v>182</v>
      </c>
      <c r="D61" s="5" t="s">
        <v>144</v>
      </c>
      <c r="E61" s="9"/>
      <c r="F61" s="8"/>
      <c r="G61" s="8"/>
      <c r="H61" s="8"/>
      <c r="I61" t="s">
        <v>219</v>
      </c>
      <c r="J61" s="28">
        <v>46111</v>
      </c>
      <c r="K61" s="8">
        <v>0</v>
      </c>
      <c r="L61" s="8">
        <f>VLOOKUP(A61,[1]INCUMPLIMIENTO!$A$2:$M$32,13,0)</f>
        <v>0</v>
      </c>
    </row>
    <row r="62" spans="1:13" ht="23.4" x14ac:dyDescent="0.3">
      <c r="A62" s="1" t="s">
        <v>44</v>
      </c>
      <c r="B62" s="1"/>
      <c r="C62" s="5" t="s">
        <v>186</v>
      </c>
      <c r="D62" s="5" t="s">
        <v>143</v>
      </c>
      <c r="E62" s="9" t="s">
        <v>147</v>
      </c>
      <c r="F62" s="8"/>
      <c r="G62" s="8"/>
      <c r="H62" s="8"/>
      <c r="I62" s="8" t="s">
        <v>203</v>
      </c>
      <c r="J62" s="8" t="s">
        <v>203</v>
      </c>
      <c r="K62" s="8" t="s">
        <v>203</v>
      </c>
      <c r="L62" s="8" t="s">
        <v>203</v>
      </c>
    </row>
    <row r="63" spans="1:13" ht="22.95" customHeight="1" x14ac:dyDescent="0.3">
      <c r="A63" s="1" t="s">
        <v>22</v>
      </c>
      <c r="B63" s="1"/>
      <c r="C63" s="26" t="s">
        <v>187</v>
      </c>
      <c r="D63" s="5" t="s">
        <v>144</v>
      </c>
      <c r="E63" s="27"/>
      <c r="F63" s="8"/>
      <c r="G63" s="8"/>
      <c r="H63" s="8"/>
      <c r="I63" t="s">
        <v>231</v>
      </c>
      <c r="J63" s="28">
        <v>46111</v>
      </c>
      <c r="K63" s="8">
        <v>0</v>
      </c>
      <c r="L63" s="8">
        <f>VLOOKUP(A63,[1]INCUMPLIMIENTO!$A$2:$M$32,13,0)</f>
        <v>0</v>
      </c>
    </row>
    <row r="64" spans="1:13" ht="32.549999999999997" customHeight="1" x14ac:dyDescent="0.3">
      <c r="A64" s="1" t="s">
        <v>44</v>
      </c>
      <c r="B64" s="1"/>
      <c r="C64" s="5" t="s">
        <v>188</v>
      </c>
      <c r="D64" s="5" t="s">
        <v>143</v>
      </c>
      <c r="E64" s="9" t="s">
        <v>147</v>
      </c>
      <c r="F64" s="8"/>
      <c r="G64" s="8"/>
      <c r="H64" s="8"/>
      <c r="I64" s="8" t="s">
        <v>203</v>
      </c>
      <c r="J64" s="8" t="s">
        <v>203</v>
      </c>
      <c r="K64" s="8" t="s">
        <v>203</v>
      </c>
      <c r="L64" s="8" t="s">
        <v>203</v>
      </c>
    </row>
    <row r="65" spans="1:12" ht="40.5" customHeight="1" x14ac:dyDescent="0.3">
      <c r="A65" s="1" t="s">
        <v>71</v>
      </c>
      <c r="B65" s="1"/>
      <c r="C65" s="5" t="s">
        <v>189</v>
      </c>
      <c r="D65" s="5" t="s">
        <v>144</v>
      </c>
      <c r="E65" s="9"/>
      <c r="F65" s="8"/>
      <c r="G65" s="8"/>
      <c r="H65" s="8"/>
      <c r="I65" s="8" t="s">
        <v>201</v>
      </c>
      <c r="J65" s="16">
        <v>46111</v>
      </c>
      <c r="K65" s="8"/>
      <c r="L65" s="16">
        <v>46111</v>
      </c>
    </row>
    <row r="66" spans="1:12" ht="27.6" x14ac:dyDescent="0.3">
      <c r="A66" s="1" t="s">
        <v>190</v>
      </c>
      <c r="B66" s="1"/>
      <c r="C66" s="5" t="s">
        <v>191</v>
      </c>
      <c r="D66" s="5" t="s">
        <v>223</v>
      </c>
      <c r="E66" s="9"/>
      <c r="F66" s="8"/>
      <c r="G66" s="8"/>
      <c r="H66" s="8"/>
      <c r="I66" s="8" t="s">
        <v>192</v>
      </c>
      <c r="J66" s="8" t="s">
        <v>206</v>
      </c>
      <c r="K66" s="8" t="s">
        <v>168</v>
      </c>
      <c r="L66" s="8" t="s">
        <v>203</v>
      </c>
    </row>
  </sheetData>
  <pageMargins left="0.70866141732283472" right="0.70866141732283472" top="0.74803149606299213" bottom="0.74803149606299213" header="0.31496062992125984" footer="0.31496062992125984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Ortega Carteño</dc:creator>
  <cp:lastModifiedBy>Guillermo Ortega Carteño</cp:lastModifiedBy>
  <cp:lastPrinted>2026-04-21T19:54:04Z</cp:lastPrinted>
  <dcterms:created xsi:type="dcterms:W3CDTF">2026-03-24T02:36:42Z</dcterms:created>
  <dcterms:modified xsi:type="dcterms:W3CDTF">2026-05-15T18:02:50Z</dcterms:modified>
</cp:coreProperties>
</file>